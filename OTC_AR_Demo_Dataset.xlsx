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frid\Downloads\"/>
    </mc:Choice>
  </mc:AlternateContent>
  <xr:revisionPtr revIDLastSave="0" documentId="13_ncr:1_{0D0C0206-3D53-4BBC-8822-1BB139E41696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Business_Case" sheetId="4" r:id="rId1"/>
    <sheet name="AR_Data" sheetId="1" r:id="rId2"/>
    <sheet name="Waterfall_Data" sheetId="3" r:id="rId3"/>
    <sheet name="Summary" sheetId="2" r:id="rId4"/>
  </sheets>
  <definedNames>
    <definedName name="_xlnm._FilterDatabase" localSheetId="1" hidden="1">AR_Data!$A$1:$P$51</definedName>
  </definedNames>
  <calcPr calcId="191029"/>
</workbook>
</file>

<file path=xl/calcChain.xml><?xml version="1.0" encoding="utf-8"?>
<calcChain xmlns="http://schemas.openxmlformats.org/spreadsheetml/2006/main">
  <c r="C6" i="4" l="1"/>
  <c r="C7" i="4"/>
  <c r="C9" i="4"/>
  <c r="C20" i="4"/>
  <c r="B3" i="3"/>
  <c r="B2" i="3"/>
  <c r="B7" i="2"/>
  <c r="B4" i="2"/>
  <c r="B9" i="2"/>
  <c r="B8" i="2"/>
  <c r="B5" i="2"/>
  <c r="B4" i="3" l="1"/>
  <c r="B6" i="2"/>
</calcChain>
</file>

<file path=xl/sharedStrings.xml><?xml version="1.0" encoding="utf-8"?>
<sst xmlns="http://schemas.openxmlformats.org/spreadsheetml/2006/main" count="653" uniqueCount="319">
  <si>
    <t>Customer_ID</t>
  </si>
  <si>
    <t>Customer_Name</t>
  </si>
  <si>
    <t>Invoice_Number</t>
  </si>
  <si>
    <t>Invoice_Date</t>
  </si>
  <si>
    <t>Due_Date</t>
  </si>
  <si>
    <t>Invoice_Amount_USD</t>
  </si>
  <si>
    <t>Payment_Received_USD</t>
  </si>
  <si>
    <t>Payment_Date</t>
  </si>
  <si>
    <t>Days_Outstanding</t>
  </si>
  <si>
    <t>Aging_Bucket</t>
  </si>
  <si>
    <t>Match_Status</t>
  </si>
  <si>
    <t>Match_Confidence</t>
  </si>
  <si>
    <t>Exception_Reason</t>
  </si>
  <si>
    <t>Assigned_To</t>
  </si>
  <si>
    <t>C017</t>
  </si>
  <si>
    <t>Orbit Software Inc</t>
  </si>
  <si>
    <t>INV-2024-780</t>
  </si>
  <si>
    <t>14-Apr-2024</t>
  </si>
  <si>
    <t>14-May-2024</t>
  </si>
  <si>
    <t>22-May-2024</t>
  </si>
  <si>
    <t>31-60</t>
  </si>
  <si>
    <t>Matched</t>
  </si>
  <si>
    <t>97%</t>
  </si>
  <si>
    <t>AI Auto-Matched</t>
  </si>
  <si>
    <t>C008</t>
  </si>
  <si>
    <t>Falcon Tech Partners</t>
  </si>
  <si>
    <t>INV-2024-303</t>
  </si>
  <si>
    <t>29-Apr-2024</t>
  </si>
  <si>
    <t>29-May-2024</t>
  </si>
  <si>
    <t>13-Jun-2024</t>
  </si>
  <si>
    <t>93%</t>
  </si>
  <si>
    <t>C003</t>
  </si>
  <si>
    <t>Apex Logistics Inc</t>
  </si>
  <si>
    <t>INV-2024-219</t>
  </si>
  <si>
    <t>18-Mar-2024</t>
  </si>
  <si>
    <t>17-Apr-2024</t>
  </si>
  <si>
    <t>—</t>
  </si>
  <si>
    <t>90+</t>
  </si>
  <si>
    <t>Suspense</t>
  </si>
  <si>
    <t>34%</t>
  </si>
  <si>
    <t>Invalid Reference</t>
  </si>
  <si>
    <t>Analyst Review</t>
  </si>
  <si>
    <t>INV-2024-702</t>
  </si>
  <si>
    <t>14-Feb-2024</t>
  </si>
  <si>
    <t>15-Mar-2024</t>
  </si>
  <si>
    <t>01-Apr-2024</t>
  </si>
  <si>
    <t>Unmatched</t>
  </si>
  <si>
    <t>45%</t>
  </si>
  <si>
    <t>Short Payment</t>
  </si>
  <si>
    <t>C016</t>
  </si>
  <si>
    <t>Northgate Financial</t>
  </si>
  <si>
    <t>INV-2024-656</t>
  </si>
  <si>
    <t>28-Apr-2024</t>
  </si>
  <si>
    <t>28-May-2024</t>
  </si>
  <si>
    <t>46%</t>
  </si>
  <si>
    <t>Duplicate</t>
  </si>
  <si>
    <t>C013</t>
  </si>
  <si>
    <t>Keystone Industries</t>
  </si>
  <si>
    <t>INV-2024-951</t>
  </si>
  <si>
    <t>12-Mar-2024</t>
  </si>
  <si>
    <t>11-Apr-2024</t>
  </si>
  <si>
    <t>18-Apr-2024</t>
  </si>
  <si>
    <t>96%</t>
  </si>
  <si>
    <t>C023</t>
  </si>
  <si>
    <t>Unity Networks</t>
  </si>
  <si>
    <t>INV-2024-226</t>
  </si>
  <si>
    <t>16-Feb-2024</t>
  </si>
  <si>
    <t>17-Mar-2024</t>
  </si>
  <si>
    <t>28-Mar-2024</t>
  </si>
  <si>
    <t>0-30</t>
  </si>
  <si>
    <t>94%</t>
  </si>
  <si>
    <t>C010</t>
  </si>
  <si>
    <t>Harbor View Enterprises</t>
  </si>
  <si>
    <t>INV-2024-446</t>
  </si>
  <si>
    <t>21-Mar-2024</t>
  </si>
  <si>
    <t>20-Apr-2024</t>
  </si>
  <si>
    <t>11-May-2024</t>
  </si>
  <si>
    <t>61-90</t>
  </si>
  <si>
    <t>54%</t>
  </si>
  <si>
    <t>C014</t>
  </si>
  <si>
    <t>Lakeshore Holdings</t>
  </si>
  <si>
    <t>INV-2024-726</t>
  </si>
  <si>
    <t>20-Feb-2024</t>
  </si>
  <si>
    <t>26-Mar-2024</t>
  </si>
  <si>
    <t>95%</t>
  </si>
  <si>
    <t>C012</t>
  </si>
  <si>
    <t>Jupiter Media</t>
  </si>
  <si>
    <t>INV-2024-971</t>
  </si>
  <si>
    <t>04-Jan-2024</t>
  </si>
  <si>
    <t>03-Feb-2024</t>
  </si>
  <si>
    <t>51%</t>
  </si>
  <si>
    <t>Amount Mismatch</t>
  </si>
  <si>
    <t>INV-2024-397</t>
  </si>
  <si>
    <t>19-Apr-2024</t>
  </si>
  <si>
    <t>19-May-2024</t>
  </si>
  <si>
    <t>01-Jun-2024</t>
  </si>
  <si>
    <t>C006</t>
  </si>
  <si>
    <t>Delta Systems LLC</t>
  </si>
  <si>
    <t>INV-2024-468</t>
  </si>
  <si>
    <t>29-Jun-2024</t>
  </si>
  <si>
    <t>29-Jul-2024</t>
  </si>
  <si>
    <t>08-Aug-2024</t>
  </si>
  <si>
    <t>98%</t>
  </si>
  <si>
    <t>INV-2024-503</t>
  </si>
  <si>
    <t>20-May-2024</t>
  </si>
  <si>
    <t>18-May-2024</t>
  </si>
  <si>
    <t>C018</t>
  </si>
  <si>
    <t>Pinnacle Consulting</t>
  </si>
  <si>
    <t>INV-2024-832</t>
  </si>
  <si>
    <t>08-Feb-2024</t>
  </si>
  <si>
    <t>09-Mar-2024</t>
  </si>
  <si>
    <t>07-Mar-2024</t>
  </si>
  <si>
    <t>C011</t>
  </si>
  <si>
    <t>Ironwood Capital</t>
  </si>
  <si>
    <t>INV-2024-086</t>
  </si>
  <si>
    <t>INV-2024-018</t>
  </si>
  <si>
    <t>20-Jan-2024</t>
  </si>
  <si>
    <t>19-Feb-2024</t>
  </si>
  <si>
    <t>22-Feb-2024</t>
  </si>
  <si>
    <t>C005</t>
  </si>
  <si>
    <t>Crestline Manufacturing</t>
  </si>
  <si>
    <t>INV-2024-756</t>
  </si>
  <si>
    <t>15-Feb-2024</t>
  </si>
  <si>
    <t>16-Mar-2024</t>
  </si>
  <si>
    <t>24-Mar-2024</t>
  </si>
  <si>
    <t>C019</t>
  </si>
  <si>
    <t>Quantum Dynamics</t>
  </si>
  <si>
    <t>INV-2024-356</t>
  </si>
  <si>
    <t>17-May-2024</t>
  </si>
  <si>
    <t>16-Jun-2024</t>
  </si>
  <si>
    <t>28%</t>
  </si>
  <si>
    <t>Unidentified Payment</t>
  </si>
  <si>
    <t>INV-2024-486</t>
  </si>
  <si>
    <t>07-Jan-2024</t>
  </si>
  <si>
    <t>06-Feb-2024</t>
  </si>
  <si>
    <t>12-Feb-2024</t>
  </si>
  <si>
    <t>92%</t>
  </si>
  <si>
    <t>C020</t>
  </si>
  <si>
    <t>Riverstone Group</t>
  </si>
  <si>
    <t>INV-2024-699</t>
  </si>
  <si>
    <t>19-Mar-2024</t>
  </si>
  <si>
    <t>02-May-2024</t>
  </si>
  <si>
    <t>99%</t>
  </si>
  <si>
    <t>INV-2024-451</t>
  </si>
  <si>
    <t>48%</t>
  </si>
  <si>
    <t>C025</t>
  </si>
  <si>
    <t>Westfield Trading Co</t>
  </si>
  <si>
    <t>INV-2024-136</t>
  </si>
  <si>
    <t>14-Jan-2024</t>
  </si>
  <si>
    <t>13-Feb-2024</t>
  </si>
  <si>
    <t>INV-2024-342</t>
  </si>
  <si>
    <t>27-Jan-2024</t>
  </si>
  <si>
    <t>26-Feb-2024</t>
  </si>
  <si>
    <t>21-Feb-2024</t>
  </si>
  <si>
    <t>INV-2024-782</t>
  </si>
  <si>
    <t>24-Jun-2024</t>
  </si>
  <si>
    <t>24-Jul-2024</t>
  </si>
  <si>
    <t>30-Jul-2024</t>
  </si>
  <si>
    <t>65%</t>
  </si>
  <si>
    <t>C009</t>
  </si>
  <si>
    <t>Granite Solutions</t>
  </si>
  <si>
    <t>INV-2024-215</t>
  </si>
  <si>
    <t>11-Feb-2024</t>
  </si>
  <si>
    <t>INV-2024-061</t>
  </si>
  <si>
    <t>27-Jun-2024</t>
  </si>
  <si>
    <t>27-Jul-2024</t>
  </si>
  <si>
    <t>04-Aug-2024</t>
  </si>
  <si>
    <t>C007</t>
  </si>
  <si>
    <t>Evergreen Retail Group</t>
  </si>
  <si>
    <t>INV-2024-664</t>
  </si>
  <si>
    <t>21-Apr-2024</t>
  </si>
  <si>
    <t>21-May-2024</t>
  </si>
  <si>
    <t>05-Jun-2024</t>
  </si>
  <si>
    <t>INV-2024-700</t>
  </si>
  <si>
    <t>23-Mar-2024</t>
  </si>
  <si>
    <t>INV-2024-924</t>
  </si>
  <si>
    <t>25-Feb-2024</t>
  </si>
  <si>
    <t>29-Mar-2024</t>
  </si>
  <si>
    <t>INV-2024-914</t>
  </si>
  <si>
    <t>27-Apr-2024</t>
  </si>
  <si>
    <t>47%</t>
  </si>
  <si>
    <t>No Remittance</t>
  </si>
  <si>
    <t>INV-2024-628</t>
  </si>
  <si>
    <t>09-Jun-2024</t>
  </si>
  <si>
    <t>09-Jul-2024</t>
  </si>
  <si>
    <t>21-Jul-2024</t>
  </si>
  <si>
    <t>INV-2024-425</t>
  </si>
  <si>
    <t>25-Jan-2024</t>
  </si>
  <si>
    <t>24-Feb-2024</t>
  </si>
  <si>
    <t>INV-2024-857</t>
  </si>
  <si>
    <t>24-May-2024</t>
  </si>
  <si>
    <t>23-Jun-2024</t>
  </si>
  <si>
    <t>12-Jul-2024</t>
  </si>
  <si>
    <t>C021</t>
  </si>
  <si>
    <t>Sterling Innovations</t>
  </si>
  <si>
    <t>INV-2024-544</t>
  </si>
  <si>
    <t>12-Jun-2024</t>
  </si>
  <si>
    <t>Duplicate Invoice</t>
  </si>
  <si>
    <t>INV-2024-793</t>
  </si>
  <si>
    <t>13-Mar-2024</t>
  </si>
  <si>
    <t>INV-2024-402</t>
  </si>
  <si>
    <t>INV-2024-982</t>
  </si>
  <si>
    <t>06-Mar-2024</t>
  </si>
  <si>
    <t>05-Apr-2024</t>
  </si>
  <si>
    <t>04-Apr-2024</t>
  </si>
  <si>
    <t>C024</t>
  </si>
  <si>
    <t>Vertex Pharma</t>
  </si>
  <si>
    <t>INV-2024-095</t>
  </si>
  <si>
    <t>21-Jun-2024</t>
  </si>
  <si>
    <t>22-Jul-2024</t>
  </si>
  <si>
    <t>INV-2024-261</t>
  </si>
  <si>
    <t>26-Jun-2024</t>
  </si>
  <si>
    <t>26-Jul-2024</t>
  </si>
  <si>
    <t>INV-2024-167</t>
  </si>
  <si>
    <t>05-May-2024</t>
  </si>
  <si>
    <t>04-May-2024</t>
  </si>
  <si>
    <t>INV-2024-134</t>
  </si>
  <si>
    <t>24-Apr-2024</t>
  </si>
  <si>
    <t>08-Jun-2024</t>
  </si>
  <si>
    <t>INV-2024-171</t>
  </si>
  <si>
    <t>31-May-2024</t>
  </si>
  <si>
    <t>30-Jun-2024</t>
  </si>
  <si>
    <t>28-Jun-2024</t>
  </si>
  <si>
    <t>INV-2024-955</t>
  </si>
  <si>
    <t>10-Mar-2024</t>
  </si>
  <si>
    <t>09-Apr-2024</t>
  </si>
  <si>
    <t>23-Apr-2024</t>
  </si>
  <si>
    <t>INV-2024-056</t>
  </si>
  <si>
    <t>08-Mar-2024</t>
  </si>
  <si>
    <t>07-Apr-2024</t>
  </si>
  <si>
    <t>21%</t>
  </si>
  <si>
    <t>INV-2024-795</t>
  </si>
  <si>
    <t>C015</t>
  </si>
  <si>
    <t>Meridian Healthcare</t>
  </si>
  <si>
    <t>INV-2024-032</t>
  </si>
  <si>
    <t>06-May-2024</t>
  </si>
  <si>
    <t>15-Jun-2024</t>
  </si>
  <si>
    <t>INV-2024-508</t>
  </si>
  <si>
    <t>07-Jun-2024</t>
  </si>
  <si>
    <t>INV-2024-557</t>
  </si>
  <si>
    <t>C022</t>
  </si>
  <si>
    <t>Titan Global</t>
  </si>
  <si>
    <t>INV-2024-512</t>
  </si>
  <si>
    <t>08-May-2024</t>
  </si>
  <si>
    <t>66%</t>
  </si>
  <si>
    <t>INV-2024-217</t>
  </si>
  <si>
    <t>25-Apr-2024</t>
  </si>
  <si>
    <t>53%</t>
  </si>
  <si>
    <t>Currency Discrepancy</t>
  </si>
  <si>
    <t>OTC AR Demo Dataset — Summary</t>
  </si>
  <si>
    <t>Match Status</t>
  </si>
  <si>
    <t>Count</t>
  </si>
  <si>
    <t>% of Total</t>
  </si>
  <si>
    <t>Description</t>
  </si>
  <si>
    <t>Auto-matched by AI with high confidence</t>
  </si>
  <si>
    <t>Unmatched (Analyst Review)</t>
  </si>
  <si>
    <t>Requires manual analyst review</t>
  </si>
  <si>
    <t>Held for investigation</t>
  </si>
  <si>
    <t>TOTAL</t>
  </si>
  <si>
    <t>Total AR Outstanding</t>
  </si>
  <si>
    <t>Total Collected</t>
  </si>
  <si>
    <t>Collection Rate</t>
  </si>
  <si>
    <t>Average DSO</t>
  </si>
  <si>
    <t>Items in Suspense</t>
  </si>
  <si>
    <t>AI Auto-Match Rate</t>
  </si>
  <si>
    <t>Column1</t>
  </si>
  <si>
    <t>Gap Amount</t>
  </si>
  <si>
    <t>Payment_Status</t>
  </si>
  <si>
    <t>Fully Paid</t>
  </si>
  <si>
    <t>Partially Paid</t>
  </si>
  <si>
    <t>Not Paid</t>
  </si>
  <si>
    <t>Stage</t>
  </si>
  <si>
    <t>Amount</t>
  </si>
  <si>
    <t xml:space="preserve">Total Invoiced </t>
  </si>
  <si>
    <t xml:space="preserve">Collected </t>
  </si>
  <si>
    <t>Outstanding Gap</t>
  </si>
  <si>
    <t>3-Year Net Benefit: 2.7 crore</t>
  </si>
  <si>
    <t>Year 1 ROI: 3.8x</t>
  </si>
  <si>
    <t>Payback: 8 months</t>
  </si>
  <si>
    <t>Annual Savings: 1.35 crore</t>
  </si>
  <si>
    <t xml:space="preserve">(3 × Annual Savings) - Implementation Cost </t>
  </si>
  <si>
    <t xml:space="preserve"> 3-Year Net Benefit </t>
  </si>
  <si>
    <t xml:space="preserve">Annual Savings ÷ Implementation Cost </t>
  </si>
  <si>
    <t xml:space="preserve"> Year 1 ROI </t>
  </si>
  <si>
    <t xml:space="preserve">Implementation Cost ÷ Annual Savings </t>
  </si>
  <si>
    <t xml:space="preserve"> Payback Period </t>
  </si>
  <si>
    <t xml:space="preserve"> Implementation Cost (one time) </t>
  </si>
  <si>
    <t xml:space="preserve">Current Cost - Future Cost </t>
  </si>
  <si>
    <t xml:space="preserve"> Annual Savings </t>
  </si>
  <si>
    <t xml:space="preserve"> Value </t>
  </si>
  <si>
    <t xml:space="preserve">Metric </t>
  </si>
  <si>
    <t>Section 3 — ROI SUMMARY</t>
  </si>
  <si>
    <t>TOTAL FUTURE ANNUAL COST</t>
  </si>
  <si>
    <t xml:space="preserve"> ₹(calculate) </t>
  </si>
  <si>
    <t xml:space="preserve"> (68-38) days × daily AR </t>
  </si>
  <si>
    <t xml:space="preserve"> Working Capital Freed </t>
  </si>
  <si>
    <t xml:space="preserve"> 38 days </t>
  </si>
  <si>
    <t xml:space="preserve"> New DSO (target) </t>
  </si>
  <si>
    <t xml:space="preserve"> Error cost × 0.125 </t>
  </si>
  <si>
    <t xml:space="preserve"> Error rate drops from 40% to 5% </t>
  </si>
  <si>
    <t xml:space="preserve"> 18 × ₹5,00,000 </t>
  </si>
  <si>
    <t xml:space="preserve"> Annual Salary Cost </t>
  </si>
  <si>
    <t xml:space="preserve">45 × 0.4 = 18 people </t>
  </si>
  <si>
    <t xml:space="preserve">AR Team Size (AI handles 80%) </t>
  </si>
  <si>
    <t xml:space="preserve"> Calculation </t>
  </si>
  <si>
    <t xml:space="preserve">Item </t>
  </si>
  <si>
    <t>Section 2 — FUTURE STATE (Post AI Transformation)</t>
  </si>
  <si>
    <t>TOTAL CURRENT ANNUAL COST</t>
  </si>
  <si>
    <t>₹(calculate)</t>
  </si>
  <si>
    <t xml:space="preserve">68 days × daily AR × cost of capital </t>
  </si>
  <si>
    <t xml:space="preserve"> DSO Financing Cost </t>
  </si>
  <si>
    <t xml:space="preserve">500/hr × 480 hrs </t>
  </si>
  <si>
    <t xml:space="preserve"> Error Correction Cost (40 hrs/month × 12) </t>
  </si>
  <si>
    <t xml:space="preserve"> =45 ×5,00,000 </t>
  </si>
  <si>
    <t xml:space="preserve"> Total Annual Salary Cost </t>
  </si>
  <si>
    <t xml:space="preserve"> Average Salary per person (annual) </t>
  </si>
  <si>
    <t xml:space="preserve">45 people </t>
  </si>
  <si>
    <t xml:space="preserve"> AR Team Size </t>
  </si>
  <si>
    <t>Section 1 — CURRENT STATE 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</si>
</sst>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1F3864"/>
      <name val="Arial"/>
    </font>
    <font>
      <sz val="10"/>
      <name val="Arial"/>
    </font>
    <font>
      <b/>
      <sz val="10"/>
      <name val="Arial"/>
    </font>
    <font>
      <sz val="11"/>
      <color theme="1"/>
      <name val="Calibri"/>
      <family val="2"/>
      <scheme val="minor"/>
    </font>
    <font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BF5E4"/>
      </patternFill>
    </fill>
    <fill>
      <patternFill patternType="solid">
        <fgColor rgb="FFE2EFDA"/>
      </patternFill>
    </fill>
    <fill>
      <patternFill patternType="solid">
        <fgColor rgb="FFFBD5C5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FFACD"/>
      </patternFill>
    </fill>
    <fill>
      <patternFill patternType="solid">
        <fgColor rgb="FFD9D9D9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5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3" fontId="2" fillId="5" borderId="1" xfId="0" applyNumberFormat="1" applyFont="1" applyFill="1" applyBorder="1" applyAlignment="1">
      <alignment horizontal="righ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3" fontId="2" fillId="6" borderId="1" xfId="0" applyNumberFormat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3" fontId="2" fillId="7" borderId="1" xfId="0" applyNumberFormat="1" applyFont="1" applyFill="1" applyBorder="1" applyAlignment="1">
      <alignment horizontal="right" vertical="center"/>
    </xf>
    <xf numFmtId="0" fontId="2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left" vertical="center"/>
    </xf>
    <xf numFmtId="3" fontId="2" fillId="8" borderId="1" xfId="0" applyNumberFormat="1" applyFont="1" applyFill="1" applyBorder="1" applyAlignment="1">
      <alignment horizontal="right" vertical="center"/>
    </xf>
    <xf numFmtId="0" fontId="3" fillId="0" borderId="0" xfId="0" applyFont="1"/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9" fontId="4" fillId="4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9" fontId="4" fillId="6" borderId="1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9" fontId="4" fillId="7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0" fontId="5" fillId="9" borderId="1" xfId="0" applyFont="1" applyFill="1" applyBorder="1" applyAlignment="1">
      <alignment horizontal="center" vertical="center"/>
    </xf>
    <xf numFmtId="9" fontId="5" fillId="9" borderId="1" xfId="0" applyNumberFormat="1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43" fontId="0" fillId="0" borderId="0" xfId="1" applyFont="1" applyAlignment="1">
      <alignment horizontal="right" vertical="top"/>
    </xf>
    <xf numFmtId="9" fontId="0" fillId="0" borderId="0" xfId="2" applyFont="1" applyAlignment="1">
      <alignment horizontal="right" vertical="top"/>
    </xf>
    <xf numFmtId="0" fontId="0" fillId="0" borderId="0" xfId="1" applyNumberFormat="1" applyFont="1" applyAlignment="1">
      <alignment horizontal="right" vertical="top"/>
    </xf>
    <xf numFmtId="1" fontId="0" fillId="0" borderId="0" xfId="1" applyNumberFormat="1" applyFont="1" applyAlignment="1">
      <alignment horizontal="right" vertical="top"/>
    </xf>
    <xf numFmtId="0" fontId="1" fillId="2" borderId="2" xfId="0" applyFont="1" applyFill="1" applyBorder="1" applyAlignment="1">
      <alignment horizontal="center" vertical="center"/>
    </xf>
    <xf numFmtId="2" fontId="2" fillId="3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3" fillId="0" borderId="0" xfId="0" applyFont="1"/>
    <xf numFmtId="0" fontId="0" fillId="0" borderId="0" xfId="0"/>
    <xf numFmtId="0" fontId="0" fillId="1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0" fillId="0" borderId="0" xfId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3" fontId="0" fillId="0" borderId="0" xfId="1" applyFont="1" applyAlignment="1">
      <alignment horizontal="center" vertical="center"/>
    </xf>
    <xf numFmtId="0" fontId="0" fillId="0" borderId="0" xfId="1" applyNumberFormat="1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top" textRotation="0" wrapText="0" indent="0" justifyLastLine="0" shrinkToFit="0" readingOrder="0"/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C52F1-31BD-4B00-A405-483984B37445}" name="Table13" displayName="Table13" ref="A3:C9" dataDxfId="8">
  <autoFilter ref="A3:C9" xr:uid="{9EACE57C-F563-405B-98DA-B67541C843A1}">
    <filterColumn colId="0" hiddenButton="1"/>
    <filterColumn colId="1" hiddenButton="1"/>
    <filterColumn colId="2" hiddenButton="1"/>
  </autoFilter>
  <tableColumns count="3">
    <tableColumn id="1" xr3:uid="{39C391EE-40DE-4AAE-8AAA-2F292EC5B5A4}" name="Item " totalsRowLabel="Total" dataDxfId="7"/>
    <tableColumn id="2" xr3:uid="{A566BA81-247C-4BF9-9EDD-776018B858BF}" name=" Calculation " dataDxfId="6"/>
    <tableColumn id="3" xr3:uid="{47BF1E9B-DD6C-4EEF-9C4D-2EC9B9950DE0}" name=" Value " totalsRowFunction="count" dataDxfId="5" dataCellStyle="Comma"/>
  </tableColumns>
  <tableStyleInfo name="TableStyleLight13" showFirstColumn="0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3827660-ECA8-44AB-A058-473F623724F1}" name="Table2" displayName="Table2" ref="A14:C20" totalsRowShown="0" headerRowDxfId="4" dataDxfId="3">
  <autoFilter ref="A14:C20" xr:uid="{DA4B53B6-A393-4D4C-A55C-B0BC74F388A5}">
    <filterColumn colId="0" hiddenButton="1"/>
    <filterColumn colId="1" hiddenButton="1"/>
    <filterColumn colId="2" hiddenButton="1"/>
  </autoFilter>
  <tableColumns count="3">
    <tableColumn id="1" xr3:uid="{97ADEDA6-4634-4E42-B2C8-A665192480FA}" name="Item " dataDxfId="2"/>
    <tableColumn id="2" xr3:uid="{31D50F7D-2796-44FE-AF2B-F27748B4D8D6}" name=" Calculation " dataDxfId="1"/>
    <tableColumn id="3" xr3:uid="{E4CF529F-E6D2-4D55-8741-868BF1C6364A}" name=" Value " dataDxfId="0" dataCellStyle="Comma"/>
  </tableColumns>
  <tableStyleInfo name="TableStyleMedium6" showFirstColumn="0" showLastColumn="1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5D53589-D041-4D6A-884C-4DEF0F50AD85}" name="Table3" displayName="Table3" ref="A25:B30" totalsRowShown="0">
  <autoFilter ref="A25:B30" xr:uid="{BB60D4D2-A80D-4ECD-8948-C153C68C5061}">
    <filterColumn colId="0" hiddenButton="1"/>
    <filterColumn colId="1" hiddenButton="1"/>
  </autoFilter>
  <tableColumns count="2">
    <tableColumn id="1" xr3:uid="{AA847B09-88CD-4D58-B0AE-F85DB66D1D1E}" name="Metric "/>
    <tableColumn id="2" xr3:uid="{05878673-A485-4B4D-AD6A-BC73BDA6CC88}" name=" Value "/>
  </tableColumns>
  <tableStyleInfo name="TableStyleMedium6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1511B9-0D78-4949-AFB6-5F983A066B51}" name="Table1" displayName="Table1" ref="A3:B9" totalsRowShown="0" headerRowBorderDxfId="12" tableBorderDxfId="11" totalsRowBorderDxfId="10">
  <autoFilter ref="A3:B9" xr:uid="{971511B9-0D78-4949-AFB6-5F983A066B51}"/>
  <tableColumns count="2">
    <tableColumn id="1" xr3:uid="{6FC41A3A-5EA8-49D1-BF4D-60A9DA4261CE}" name="Match Status"/>
    <tableColumn id="2" xr3:uid="{C448FD8A-AA47-4A73-86BC-05B9153011B9}" name="Column1" dataDxfId="9" dataCellStyle="Comma">
      <calculatedColumnFormula>SUM(AR_Data!F26:F51)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8F685-EBF4-485D-802A-E5CF97A62381}">
  <dimension ref="A1:C37"/>
  <sheetViews>
    <sheetView tabSelected="1" workbookViewId="0">
      <selection activeCell="B17" sqref="B17"/>
    </sheetView>
  </sheetViews>
  <sheetFormatPr defaultRowHeight="14.4" x14ac:dyDescent="0.3"/>
  <cols>
    <col min="1" max="1" width="36.33203125" bestFit="1" customWidth="1"/>
    <col min="2" max="2" width="36.6640625" bestFit="1" customWidth="1"/>
    <col min="3" max="3" width="14.21875" bestFit="1" customWidth="1"/>
  </cols>
  <sheetData>
    <row r="1" spans="1:3" x14ac:dyDescent="0.3">
      <c r="A1" s="47" t="s">
        <v>318</v>
      </c>
      <c r="B1" s="47"/>
      <c r="C1" s="47"/>
    </row>
    <row r="3" spans="1:3" x14ac:dyDescent="0.3">
      <c r="A3" t="s">
        <v>305</v>
      </c>
      <c r="B3" t="s">
        <v>304</v>
      </c>
      <c r="C3" t="s">
        <v>289</v>
      </c>
    </row>
    <row r="4" spans="1:3" x14ac:dyDescent="0.3">
      <c r="A4" s="49" t="s">
        <v>317</v>
      </c>
      <c r="B4" s="49" t="s">
        <v>316</v>
      </c>
      <c r="C4" s="52">
        <v>45</v>
      </c>
    </row>
    <row r="5" spans="1:3" x14ac:dyDescent="0.3">
      <c r="A5" s="49" t="s">
        <v>315</v>
      </c>
      <c r="B5" s="49">
        <v>500000</v>
      </c>
      <c r="C5" s="51">
        <v>500000</v>
      </c>
    </row>
    <row r="6" spans="1:3" x14ac:dyDescent="0.3">
      <c r="A6" s="49" t="s">
        <v>314</v>
      </c>
      <c r="B6" s="49" t="s">
        <v>313</v>
      </c>
      <c r="C6" s="51">
        <f>45*500000</f>
        <v>22500000</v>
      </c>
    </row>
    <row r="7" spans="1:3" x14ac:dyDescent="0.3">
      <c r="A7" s="49" t="s">
        <v>312</v>
      </c>
      <c r="B7" s="49" t="s">
        <v>311</v>
      </c>
      <c r="C7" s="51">
        <f>500*480</f>
        <v>240000</v>
      </c>
    </row>
    <row r="8" spans="1:3" x14ac:dyDescent="0.3">
      <c r="A8" s="49" t="s">
        <v>310</v>
      </c>
      <c r="B8" s="49" t="s">
        <v>309</v>
      </c>
      <c r="C8" s="51" t="s">
        <v>308</v>
      </c>
    </row>
    <row r="9" spans="1:3" x14ac:dyDescent="0.3">
      <c r="A9" s="49" t="s">
        <v>307</v>
      </c>
      <c r="B9" s="49"/>
      <c r="C9" s="51">
        <f>SUM(C4:C8)</f>
        <v>23240045</v>
      </c>
    </row>
    <row r="10" spans="1:3" x14ac:dyDescent="0.3">
      <c r="A10" s="49"/>
      <c r="B10" s="49"/>
      <c r="C10" s="49"/>
    </row>
    <row r="12" spans="1:3" x14ac:dyDescent="0.3">
      <c r="A12" s="47" t="s">
        <v>306</v>
      </c>
      <c r="B12" s="47"/>
      <c r="C12" s="47"/>
    </row>
    <row r="13" spans="1:3" x14ac:dyDescent="0.3">
      <c r="A13" s="46"/>
      <c r="B13" s="46"/>
      <c r="C13" s="46"/>
    </row>
    <row r="14" spans="1:3" x14ac:dyDescent="0.3">
      <c r="A14" s="49" t="s">
        <v>305</v>
      </c>
      <c r="B14" s="49" t="s">
        <v>304</v>
      </c>
      <c r="C14" s="49" t="s">
        <v>289</v>
      </c>
    </row>
    <row r="15" spans="1:3" x14ac:dyDescent="0.3">
      <c r="A15" s="49" t="s">
        <v>303</v>
      </c>
      <c r="B15" s="49" t="s">
        <v>302</v>
      </c>
      <c r="C15" s="50">
        <v>18</v>
      </c>
    </row>
    <row r="16" spans="1:3" x14ac:dyDescent="0.3">
      <c r="A16" s="49" t="s">
        <v>301</v>
      </c>
      <c r="B16" s="49" t="s">
        <v>300</v>
      </c>
      <c r="C16" s="48">
        <v>9000000</v>
      </c>
    </row>
    <row r="17" spans="1:3" x14ac:dyDescent="0.3">
      <c r="A17" s="49" t="s">
        <v>299</v>
      </c>
      <c r="B17" s="49" t="s">
        <v>298</v>
      </c>
      <c r="C17" s="48">
        <v>30000</v>
      </c>
    </row>
    <row r="18" spans="1:3" x14ac:dyDescent="0.3">
      <c r="A18" s="49" t="s">
        <v>297</v>
      </c>
      <c r="B18" s="49" t="s">
        <v>296</v>
      </c>
      <c r="C18" s="50">
        <v>38</v>
      </c>
    </row>
    <row r="19" spans="1:3" x14ac:dyDescent="0.3">
      <c r="A19" s="49" t="s">
        <v>295</v>
      </c>
      <c r="B19" s="49" t="s">
        <v>294</v>
      </c>
      <c r="C19" s="50" t="s">
        <v>293</v>
      </c>
    </row>
    <row r="20" spans="1:3" x14ac:dyDescent="0.3">
      <c r="A20" s="49" t="s">
        <v>292</v>
      </c>
      <c r="B20" s="49"/>
      <c r="C20" s="48">
        <f>SUM(C15:C19)</f>
        <v>9030056</v>
      </c>
    </row>
    <row r="23" spans="1:3" x14ac:dyDescent="0.3">
      <c r="A23" s="47" t="s">
        <v>291</v>
      </c>
      <c r="B23" s="47"/>
      <c r="C23" s="47"/>
    </row>
    <row r="24" spans="1:3" x14ac:dyDescent="0.3">
      <c r="A24" s="46"/>
      <c r="B24" s="46"/>
      <c r="C24" s="46"/>
    </row>
    <row r="25" spans="1:3" x14ac:dyDescent="0.3">
      <c r="A25" t="s">
        <v>290</v>
      </c>
      <c r="B25" t="s">
        <v>289</v>
      </c>
    </row>
    <row r="26" spans="1:3" x14ac:dyDescent="0.3">
      <c r="A26" t="s">
        <v>288</v>
      </c>
      <c r="B26" t="s">
        <v>287</v>
      </c>
    </row>
    <row r="27" spans="1:3" x14ac:dyDescent="0.3">
      <c r="A27" t="s">
        <v>286</v>
      </c>
      <c r="B27" s="42">
        <v>3500000</v>
      </c>
    </row>
    <row r="28" spans="1:3" x14ac:dyDescent="0.3">
      <c r="A28" t="s">
        <v>285</v>
      </c>
      <c r="B28" t="s">
        <v>284</v>
      </c>
    </row>
    <row r="29" spans="1:3" x14ac:dyDescent="0.3">
      <c r="A29" t="s">
        <v>283</v>
      </c>
      <c r="B29" t="s">
        <v>282</v>
      </c>
    </row>
    <row r="30" spans="1:3" x14ac:dyDescent="0.3">
      <c r="A30" t="s">
        <v>281</v>
      </c>
      <c r="B30" t="s">
        <v>280</v>
      </c>
    </row>
    <row r="34" spans="1:1" x14ac:dyDescent="0.3">
      <c r="A34" s="45" t="s">
        <v>279</v>
      </c>
    </row>
    <row r="35" spans="1:1" x14ac:dyDescent="0.3">
      <c r="A35" s="45" t="s">
        <v>278</v>
      </c>
    </row>
    <row r="36" spans="1:1" x14ac:dyDescent="0.3">
      <c r="A36" s="45" t="s">
        <v>277</v>
      </c>
    </row>
    <row r="37" spans="1:1" x14ac:dyDescent="0.3">
      <c r="A37" s="45" t="s">
        <v>276</v>
      </c>
    </row>
  </sheetData>
  <mergeCells count="3">
    <mergeCell ref="A1:C1"/>
    <mergeCell ref="A12:C12"/>
    <mergeCell ref="A23:C2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workbookViewId="0">
      <pane ySplit="1" topLeftCell="A2" activePane="bottomLeft" state="frozen"/>
      <selection pane="bottomLeft" activeCell="F7" sqref="D7:F8"/>
    </sheetView>
  </sheetViews>
  <sheetFormatPr defaultRowHeight="14.4" x14ac:dyDescent="0.3"/>
  <cols>
    <col min="1" max="1" width="12.33203125" bestFit="1" customWidth="1"/>
    <col min="2" max="2" width="18.5546875" bestFit="1" customWidth="1"/>
    <col min="3" max="3" width="15.109375" bestFit="1" customWidth="1"/>
    <col min="4" max="4" width="12.109375" bestFit="1" customWidth="1"/>
    <col min="5" max="5" width="10.109375" bestFit="1" customWidth="1"/>
    <col min="6" max="6" width="20" customWidth="1"/>
    <col min="7" max="7" width="22.6640625" bestFit="1" customWidth="1"/>
    <col min="8" max="8" width="13.6640625" bestFit="1" customWidth="1"/>
    <col min="9" max="9" width="17.33203125" bestFit="1" customWidth="1"/>
    <col min="10" max="10" width="13.21875" bestFit="1" customWidth="1"/>
    <col min="11" max="11" width="12.88671875" bestFit="1" customWidth="1"/>
    <col min="12" max="12" width="17.21875" bestFit="1" customWidth="1"/>
    <col min="13" max="13" width="17.44140625" bestFit="1" customWidth="1"/>
    <col min="14" max="14" width="12.44140625" bestFit="1" customWidth="1"/>
    <col min="15" max="15" width="11.88671875" bestFit="1" customWidth="1"/>
    <col min="16" max="16" width="15.33203125" bestFit="1" customWidth="1"/>
  </cols>
  <sheetData>
    <row r="1" spans="1:16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0" t="s">
        <v>266</v>
      </c>
      <c r="P1" s="40" t="s">
        <v>267</v>
      </c>
    </row>
    <row r="2" spans="1:16" ht="16.05" customHeight="1" x14ac:dyDescent="0.3">
      <c r="A2" s="2" t="s">
        <v>63</v>
      </c>
      <c r="B2" s="3" t="s">
        <v>64</v>
      </c>
      <c r="C2" s="2" t="s">
        <v>65</v>
      </c>
      <c r="D2" s="2" t="s">
        <v>66</v>
      </c>
      <c r="E2" s="2" t="s">
        <v>67</v>
      </c>
      <c r="F2" s="4">
        <v>8500</v>
      </c>
      <c r="G2" s="4">
        <v>8500</v>
      </c>
      <c r="H2" s="2" t="s">
        <v>68</v>
      </c>
      <c r="I2" s="4">
        <v>21</v>
      </c>
      <c r="J2" s="2" t="s">
        <v>69</v>
      </c>
      <c r="K2" s="2" t="s">
        <v>21</v>
      </c>
      <c r="L2" s="2" t="s">
        <v>70</v>
      </c>
      <c r="M2" s="2"/>
      <c r="N2" s="2" t="s">
        <v>23</v>
      </c>
      <c r="O2" s="41">
        <v>0</v>
      </c>
      <c r="P2" s="2" t="s">
        <v>268</v>
      </c>
    </row>
    <row r="3" spans="1:16" ht="16.05" customHeight="1" x14ac:dyDescent="0.3">
      <c r="A3" s="2" t="s">
        <v>79</v>
      </c>
      <c r="B3" s="3" t="s">
        <v>80</v>
      </c>
      <c r="C3" s="2" t="s">
        <v>81</v>
      </c>
      <c r="D3" s="2" t="s">
        <v>82</v>
      </c>
      <c r="E3" s="2" t="s">
        <v>74</v>
      </c>
      <c r="F3" s="4">
        <v>8500</v>
      </c>
      <c r="G3" s="4">
        <v>8500</v>
      </c>
      <c r="H3" s="2" t="s">
        <v>83</v>
      </c>
      <c r="I3" s="4">
        <v>16</v>
      </c>
      <c r="J3" s="2" t="s">
        <v>69</v>
      </c>
      <c r="K3" s="2" t="s">
        <v>21</v>
      </c>
      <c r="L3" s="2" t="s">
        <v>84</v>
      </c>
      <c r="M3" s="2"/>
      <c r="N3" s="2" t="s">
        <v>23</v>
      </c>
      <c r="O3" s="41">
        <v>0</v>
      </c>
      <c r="P3" s="2" t="s">
        <v>268</v>
      </c>
    </row>
    <row r="4" spans="1:16" ht="16.05" customHeight="1" x14ac:dyDescent="0.3">
      <c r="A4" s="17" t="s">
        <v>63</v>
      </c>
      <c r="B4" s="18" t="s">
        <v>64</v>
      </c>
      <c r="C4" s="17" t="s">
        <v>143</v>
      </c>
      <c r="D4" s="17" t="s">
        <v>88</v>
      </c>
      <c r="E4" s="17" t="s">
        <v>89</v>
      </c>
      <c r="F4" s="19">
        <v>8500</v>
      </c>
      <c r="G4" s="19">
        <v>4250</v>
      </c>
      <c r="H4" s="17" t="s">
        <v>117</v>
      </c>
      <c r="I4" s="19">
        <v>48</v>
      </c>
      <c r="J4" s="17" t="s">
        <v>20</v>
      </c>
      <c r="K4" s="17" t="s">
        <v>46</v>
      </c>
      <c r="L4" s="17" t="s">
        <v>144</v>
      </c>
      <c r="M4" s="17" t="s">
        <v>48</v>
      </c>
      <c r="N4" s="17" t="s">
        <v>41</v>
      </c>
      <c r="O4" s="41">
        <v>4250</v>
      </c>
      <c r="P4" s="17" t="s">
        <v>269</v>
      </c>
    </row>
    <row r="5" spans="1:16" ht="16.05" customHeight="1" x14ac:dyDescent="0.3">
      <c r="A5" s="14" t="s">
        <v>24</v>
      </c>
      <c r="B5" s="15" t="s">
        <v>25</v>
      </c>
      <c r="C5" s="14" t="s">
        <v>227</v>
      </c>
      <c r="D5" s="14" t="s">
        <v>228</v>
      </c>
      <c r="E5" s="14" t="s">
        <v>229</v>
      </c>
      <c r="F5" s="16">
        <v>8500</v>
      </c>
      <c r="G5" s="16">
        <v>0</v>
      </c>
      <c r="H5" s="14" t="s">
        <v>36</v>
      </c>
      <c r="I5" s="16">
        <v>121</v>
      </c>
      <c r="J5" s="14" t="s">
        <v>37</v>
      </c>
      <c r="K5" s="14" t="s">
        <v>38</v>
      </c>
      <c r="L5" s="14" t="s">
        <v>230</v>
      </c>
      <c r="M5" s="14" t="s">
        <v>131</v>
      </c>
      <c r="N5" s="14" t="s">
        <v>41</v>
      </c>
      <c r="O5" s="41">
        <v>8500</v>
      </c>
      <c r="P5" s="14" t="s">
        <v>270</v>
      </c>
    </row>
    <row r="6" spans="1:16" ht="16.05" customHeight="1" x14ac:dyDescent="0.3">
      <c r="A6" s="2" t="s">
        <v>112</v>
      </c>
      <c r="B6" s="3" t="s">
        <v>113</v>
      </c>
      <c r="C6" s="2" t="s">
        <v>210</v>
      </c>
      <c r="D6" s="2" t="s">
        <v>211</v>
      </c>
      <c r="E6" s="2" t="s">
        <v>212</v>
      </c>
      <c r="F6" s="4">
        <v>12000</v>
      </c>
      <c r="G6" s="4">
        <v>12000</v>
      </c>
      <c r="H6" s="2" t="s">
        <v>156</v>
      </c>
      <c r="I6" s="4">
        <v>13</v>
      </c>
      <c r="J6" s="2" t="s">
        <v>69</v>
      </c>
      <c r="K6" s="2" t="s">
        <v>21</v>
      </c>
      <c r="L6" s="2" t="s">
        <v>142</v>
      </c>
      <c r="M6" s="2"/>
      <c r="N6" s="2" t="s">
        <v>23</v>
      </c>
      <c r="O6" s="41">
        <v>0</v>
      </c>
      <c r="P6" s="2" t="s">
        <v>268</v>
      </c>
    </row>
    <row r="7" spans="1:16" ht="16.05" customHeight="1" x14ac:dyDescent="0.3">
      <c r="A7" s="11" t="s">
        <v>145</v>
      </c>
      <c r="B7" s="12" t="s">
        <v>146</v>
      </c>
      <c r="C7" s="11" t="s">
        <v>245</v>
      </c>
      <c r="D7" s="11" t="s">
        <v>83</v>
      </c>
      <c r="E7" s="11" t="s">
        <v>246</v>
      </c>
      <c r="F7" s="13">
        <v>12000</v>
      </c>
      <c r="G7" s="13">
        <v>0</v>
      </c>
      <c r="H7" s="11" t="s">
        <v>36</v>
      </c>
      <c r="I7" s="13">
        <v>70</v>
      </c>
      <c r="J7" s="11" t="s">
        <v>77</v>
      </c>
      <c r="K7" s="11" t="s">
        <v>46</v>
      </c>
      <c r="L7" s="11" t="s">
        <v>247</v>
      </c>
      <c r="M7" s="11" t="s">
        <v>248</v>
      </c>
      <c r="N7" s="11" t="s">
        <v>41</v>
      </c>
      <c r="O7" s="41">
        <v>12000</v>
      </c>
      <c r="P7" s="11" t="s">
        <v>270</v>
      </c>
    </row>
    <row r="8" spans="1:16" ht="16.05" customHeight="1" x14ac:dyDescent="0.3">
      <c r="A8" s="5" t="s">
        <v>24</v>
      </c>
      <c r="B8" s="6" t="s">
        <v>25</v>
      </c>
      <c r="C8" s="5" t="s">
        <v>26</v>
      </c>
      <c r="D8" s="5" t="s">
        <v>27</v>
      </c>
      <c r="E8" s="5" t="s">
        <v>28</v>
      </c>
      <c r="F8" s="7">
        <v>15000</v>
      </c>
      <c r="G8" s="7">
        <v>15000</v>
      </c>
      <c r="H8" s="5" t="s">
        <v>29</v>
      </c>
      <c r="I8" s="7">
        <v>39</v>
      </c>
      <c r="J8" s="5" t="s">
        <v>20</v>
      </c>
      <c r="K8" s="5" t="s">
        <v>21</v>
      </c>
      <c r="L8" s="5" t="s">
        <v>30</v>
      </c>
      <c r="M8" s="5"/>
      <c r="N8" s="5" t="s">
        <v>23</v>
      </c>
      <c r="O8" s="41">
        <v>0</v>
      </c>
      <c r="P8" s="5" t="s">
        <v>268</v>
      </c>
    </row>
    <row r="9" spans="1:16" ht="16.05" customHeight="1" x14ac:dyDescent="0.3">
      <c r="A9" s="11" t="s">
        <v>71</v>
      </c>
      <c r="B9" s="12" t="s">
        <v>72</v>
      </c>
      <c r="C9" s="11" t="s">
        <v>73</v>
      </c>
      <c r="D9" s="11" t="s">
        <v>74</v>
      </c>
      <c r="E9" s="11" t="s">
        <v>75</v>
      </c>
      <c r="F9" s="13">
        <v>15000</v>
      </c>
      <c r="G9" s="13">
        <v>13500</v>
      </c>
      <c r="H9" s="11" t="s">
        <v>76</v>
      </c>
      <c r="I9" s="13">
        <v>67</v>
      </c>
      <c r="J9" s="11" t="s">
        <v>77</v>
      </c>
      <c r="K9" s="11" t="s">
        <v>46</v>
      </c>
      <c r="L9" s="11" t="s">
        <v>78</v>
      </c>
      <c r="M9" s="11" t="s">
        <v>48</v>
      </c>
      <c r="N9" s="11" t="s">
        <v>41</v>
      </c>
      <c r="O9" s="41">
        <v>1500</v>
      </c>
      <c r="P9" s="11" t="s">
        <v>269</v>
      </c>
    </row>
    <row r="10" spans="1:16" ht="16.05" customHeight="1" x14ac:dyDescent="0.3">
      <c r="A10" s="11" t="s">
        <v>85</v>
      </c>
      <c r="B10" s="12" t="s">
        <v>86</v>
      </c>
      <c r="C10" s="11" t="s">
        <v>87</v>
      </c>
      <c r="D10" s="11" t="s">
        <v>88</v>
      </c>
      <c r="E10" s="11" t="s">
        <v>89</v>
      </c>
      <c r="F10" s="13">
        <v>15000</v>
      </c>
      <c r="G10" s="13">
        <v>0</v>
      </c>
      <c r="H10" s="11" t="s">
        <v>36</v>
      </c>
      <c r="I10" s="13">
        <v>80</v>
      </c>
      <c r="J10" s="11" t="s">
        <v>77</v>
      </c>
      <c r="K10" s="11" t="s">
        <v>46</v>
      </c>
      <c r="L10" s="11" t="s">
        <v>90</v>
      </c>
      <c r="M10" s="11" t="s">
        <v>91</v>
      </c>
      <c r="N10" s="11" t="s">
        <v>41</v>
      </c>
      <c r="O10" s="41">
        <v>15000</v>
      </c>
      <c r="P10" s="11" t="s">
        <v>270</v>
      </c>
    </row>
    <row r="11" spans="1:16" ht="16.05" customHeight="1" x14ac:dyDescent="0.3">
      <c r="A11" s="2" t="s">
        <v>96</v>
      </c>
      <c r="B11" s="3" t="s">
        <v>97</v>
      </c>
      <c r="C11" s="2" t="s">
        <v>198</v>
      </c>
      <c r="D11" s="2" t="s">
        <v>135</v>
      </c>
      <c r="E11" s="2" t="s">
        <v>199</v>
      </c>
      <c r="F11" s="4">
        <v>15000</v>
      </c>
      <c r="G11" s="4">
        <v>15000</v>
      </c>
      <c r="H11" s="2" t="s">
        <v>174</v>
      </c>
      <c r="I11" s="4">
        <v>11</v>
      </c>
      <c r="J11" s="2" t="s">
        <v>69</v>
      </c>
      <c r="K11" s="2" t="s">
        <v>21</v>
      </c>
      <c r="L11" s="2" t="s">
        <v>142</v>
      </c>
      <c r="M11" s="2"/>
      <c r="N11" s="2" t="s">
        <v>23</v>
      </c>
      <c r="O11" s="41">
        <v>0</v>
      </c>
      <c r="P11" s="2" t="s">
        <v>268</v>
      </c>
    </row>
    <row r="12" spans="1:16" ht="16.05" customHeight="1" x14ac:dyDescent="0.3">
      <c r="A12" s="8" t="s">
        <v>106</v>
      </c>
      <c r="B12" s="9" t="s">
        <v>107</v>
      </c>
      <c r="C12" s="8" t="s">
        <v>231</v>
      </c>
      <c r="D12" s="8" t="s">
        <v>133</v>
      </c>
      <c r="E12" s="8" t="s">
        <v>134</v>
      </c>
      <c r="F12" s="10">
        <v>15000</v>
      </c>
      <c r="G12" s="10">
        <v>0</v>
      </c>
      <c r="H12" s="8" t="s">
        <v>36</v>
      </c>
      <c r="I12" s="10">
        <v>152</v>
      </c>
      <c r="J12" s="8" t="s">
        <v>37</v>
      </c>
      <c r="K12" s="34" t="s">
        <v>38</v>
      </c>
      <c r="L12" s="8" t="s">
        <v>144</v>
      </c>
      <c r="M12" s="8" t="s">
        <v>40</v>
      </c>
      <c r="N12" s="8" t="s">
        <v>41</v>
      </c>
      <c r="O12" s="41">
        <v>15000</v>
      </c>
      <c r="P12" s="8" t="s">
        <v>270</v>
      </c>
    </row>
    <row r="13" spans="1:16" ht="16.05" customHeight="1" x14ac:dyDescent="0.3">
      <c r="A13" s="5" t="s">
        <v>137</v>
      </c>
      <c r="B13" s="6" t="s">
        <v>138</v>
      </c>
      <c r="C13" s="5" t="s">
        <v>139</v>
      </c>
      <c r="D13" s="5" t="s">
        <v>140</v>
      </c>
      <c r="E13" s="5" t="s">
        <v>61</v>
      </c>
      <c r="F13" s="7">
        <v>18500</v>
      </c>
      <c r="G13" s="7">
        <v>18500</v>
      </c>
      <c r="H13" s="5" t="s">
        <v>141</v>
      </c>
      <c r="I13" s="7">
        <v>14</v>
      </c>
      <c r="J13" s="5" t="s">
        <v>69</v>
      </c>
      <c r="K13" s="5" t="s">
        <v>21</v>
      </c>
      <c r="L13" s="5" t="s">
        <v>142</v>
      </c>
      <c r="M13" s="5"/>
      <c r="N13" s="5" t="s">
        <v>23</v>
      </c>
      <c r="O13" s="41">
        <v>0</v>
      </c>
      <c r="P13" s="5" t="s">
        <v>268</v>
      </c>
    </row>
    <row r="14" spans="1:16" ht="16.05" customHeight="1" x14ac:dyDescent="0.3">
      <c r="A14" s="17" t="s">
        <v>119</v>
      </c>
      <c r="B14" s="18" t="s">
        <v>120</v>
      </c>
      <c r="C14" s="17" t="s">
        <v>189</v>
      </c>
      <c r="D14" s="17" t="s">
        <v>190</v>
      </c>
      <c r="E14" s="17" t="s">
        <v>191</v>
      </c>
      <c r="F14" s="19">
        <v>18500</v>
      </c>
      <c r="G14" s="19">
        <v>9250</v>
      </c>
      <c r="H14" s="17" t="s">
        <v>192</v>
      </c>
      <c r="I14" s="19">
        <v>44</v>
      </c>
      <c r="J14" s="17" t="s">
        <v>20</v>
      </c>
      <c r="K14" s="17" t="s">
        <v>46</v>
      </c>
      <c r="L14" s="17" t="s">
        <v>180</v>
      </c>
      <c r="M14" s="17" t="s">
        <v>91</v>
      </c>
      <c r="N14" s="17" t="s">
        <v>41</v>
      </c>
      <c r="O14" s="41">
        <v>9250</v>
      </c>
      <c r="P14" s="17" t="s">
        <v>269</v>
      </c>
    </row>
    <row r="15" spans="1:16" ht="16.05" customHeight="1" x14ac:dyDescent="0.3">
      <c r="A15" s="2" t="s">
        <v>56</v>
      </c>
      <c r="B15" s="3" t="s">
        <v>57</v>
      </c>
      <c r="C15" s="2" t="s">
        <v>216</v>
      </c>
      <c r="D15" s="2" t="s">
        <v>217</v>
      </c>
      <c r="E15" s="2" t="s">
        <v>190</v>
      </c>
      <c r="F15" s="4">
        <v>18500</v>
      </c>
      <c r="G15" s="4">
        <v>18500</v>
      </c>
      <c r="H15" s="2" t="s">
        <v>218</v>
      </c>
      <c r="I15" s="4">
        <v>2</v>
      </c>
      <c r="J15" s="2" t="s">
        <v>69</v>
      </c>
      <c r="K15" s="2" t="s">
        <v>21</v>
      </c>
      <c r="L15" s="2" t="s">
        <v>70</v>
      </c>
      <c r="M15" s="2"/>
      <c r="N15" s="2" t="s">
        <v>23</v>
      </c>
      <c r="O15" s="41">
        <v>0</v>
      </c>
      <c r="P15" s="2" t="s">
        <v>268</v>
      </c>
    </row>
    <row r="16" spans="1:16" ht="16.05" customHeight="1" x14ac:dyDescent="0.3">
      <c r="A16" s="5" t="s">
        <v>106</v>
      </c>
      <c r="B16" s="6" t="s">
        <v>107</v>
      </c>
      <c r="C16" s="5" t="s">
        <v>108</v>
      </c>
      <c r="D16" s="5" t="s">
        <v>109</v>
      </c>
      <c r="E16" s="5" t="s">
        <v>110</v>
      </c>
      <c r="F16" s="7">
        <v>22000</v>
      </c>
      <c r="G16" s="7">
        <v>22000</v>
      </c>
      <c r="H16" s="5" t="s">
        <v>111</v>
      </c>
      <c r="I16" s="7">
        <v>12</v>
      </c>
      <c r="J16" s="5" t="s">
        <v>69</v>
      </c>
      <c r="K16" s="5" t="s">
        <v>21</v>
      </c>
      <c r="L16" s="5" t="s">
        <v>70</v>
      </c>
      <c r="M16" s="5"/>
      <c r="N16" s="5" t="s">
        <v>23</v>
      </c>
      <c r="O16" s="41">
        <v>0</v>
      </c>
      <c r="P16" s="5" t="s">
        <v>268</v>
      </c>
    </row>
    <row r="17" spans="1:16" ht="16.05" customHeight="1" x14ac:dyDescent="0.3">
      <c r="A17" s="2" t="s">
        <v>14</v>
      </c>
      <c r="B17" s="3" t="s">
        <v>15</v>
      </c>
      <c r="C17" s="2" t="s">
        <v>132</v>
      </c>
      <c r="D17" s="2" t="s">
        <v>133</v>
      </c>
      <c r="E17" s="2" t="s">
        <v>134</v>
      </c>
      <c r="F17" s="4">
        <v>22000</v>
      </c>
      <c r="G17" s="4">
        <v>22000</v>
      </c>
      <c r="H17" s="2" t="s">
        <v>135</v>
      </c>
      <c r="I17" s="4">
        <v>23</v>
      </c>
      <c r="J17" s="2" t="s">
        <v>69</v>
      </c>
      <c r="K17" s="2" t="s">
        <v>21</v>
      </c>
      <c r="L17" s="2" t="s">
        <v>136</v>
      </c>
      <c r="M17" s="2"/>
      <c r="N17" s="2" t="s">
        <v>23</v>
      </c>
      <c r="O17" s="41">
        <v>0</v>
      </c>
      <c r="P17" s="2" t="s">
        <v>268</v>
      </c>
    </row>
    <row r="18" spans="1:16" ht="16.05" customHeight="1" x14ac:dyDescent="0.3">
      <c r="A18" s="5" t="s">
        <v>56</v>
      </c>
      <c r="B18" s="6" t="s">
        <v>57</v>
      </c>
      <c r="C18" s="5" t="s">
        <v>163</v>
      </c>
      <c r="D18" s="5" t="s">
        <v>164</v>
      </c>
      <c r="E18" s="5" t="s">
        <v>165</v>
      </c>
      <c r="F18" s="7">
        <v>22000</v>
      </c>
      <c r="G18" s="7">
        <v>22000</v>
      </c>
      <c r="H18" s="5" t="s">
        <v>166</v>
      </c>
      <c r="I18" s="7">
        <v>19</v>
      </c>
      <c r="J18" s="5" t="s">
        <v>69</v>
      </c>
      <c r="K18" s="5" t="s">
        <v>21</v>
      </c>
      <c r="L18" s="5" t="s">
        <v>30</v>
      </c>
      <c r="M18" s="5"/>
      <c r="N18" s="5" t="s">
        <v>23</v>
      </c>
      <c r="O18" s="41">
        <v>0</v>
      </c>
      <c r="P18" s="5" t="s">
        <v>268</v>
      </c>
    </row>
    <row r="19" spans="1:16" ht="16.05" customHeight="1" x14ac:dyDescent="0.3">
      <c r="A19" s="5" t="s">
        <v>106</v>
      </c>
      <c r="B19" s="6" t="s">
        <v>107</v>
      </c>
      <c r="C19" s="5" t="s">
        <v>173</v>
      </c>
      <c r="D19" s="5" t="s">
        <v>118</v>
      </c>
      <c r="E19" s="5" t="s">
        <v>174</v>
      </c>
      <c r="F19" s="7">
        <v>22000</v>
      </c>
      <c r="G19" s="7">
        <v>22000</v>
      </c>
      <c r="H19" s="5" t="s">
        <v>68</v>
      </c>
      <c r="I19" s="7">
        <v>15</v>
      </c>
      <c r="J19" s="5" t="s">
        <v>69</v>
      </c>
      <c r="K19" s="5" t="s">
        <v>21</v>
      </c>
      <c r="L19" s="5" t="s">
        <v>30</v>
      </c>
      <c r="M19" s="5"/>
      <c r="N19" s="5" t="s">
        <v>23</v>
      </c>
      <c r="O19" s="41">
        <v>0</v>
      </c>
      <c r="P19" s="5" t="s">
        <v>268</v>
      </c>
    </row>
    <row r="20" spans="1:16" ht="16.05" customHeight="1" x14ac:dyDescent="0.3">
      <c r="A20" s="11" t="s">
        <v>96</v>
      </c>
      <c r="B20" s="12" t="s">
        <v>97</v>
      </c>
      <c r="C20" s="11" t="s">
        <v>178</v>
      </c>
      <c r="D20" s="11" t="s">
        <v>68</v>
      </c>
      <c r="E20" s="11" t="s">
        <v>179</v>
      </c>
      <c r="F20" s="13">
        <v>22000</v>
      </c>
      <c r="G20" s="13">
        <v>11000</v>
      </c>
      <c r="H20" s="11" t="s">
        <v>171</v>
      </c>
      <c r="I20" s="13">
        <v>62</v>
      </c>
      <c r="J20" s="11" t="s">
        <v>77</v>
      </c>
      <c r="K20" s="11" t="s">
        <v>46</v>
      </c>
      <c r="L20" s="11" t="s">
        <v>180</v>
      </c>
      <c r="M20" s="11" t="s">
        <v>181</v>
      </c>
      <c r="N20" s="11" t="s">
        <v>41</v>
      </c>
      <c r="O20" s="41">
        <v>11000</v>
      </c>
      <c r="P20" s="11" t="s">
        <v>269</v>
      </c>
    </row>
    <row r="21" spans="1:16" ht="16.05" customHeight="1" x14ac:dyDescent="0.3">
      <c r="A21" s="5" t="s">
        <v>232</v>
      </c>
      <c r="B21" s="6" t="s">
        <v>233</v>
      </c>
      <c r="C21" s="5" t="s">
        <v>239</v>
      </c>
      <c r="D21" s="5" t="s">
        <v>133</v>
      </c>
      <c r="E21" s="5" t="s">
        <v>134</v>
      </c>
      <c r="F21" s="7">
        <v>22000</v>
      </c>
      <c r="G21" s="7">
        <v>22000</v>
      </c>
      <c r="H21" s="5" t="s">
        <v>135</v>
      </c>
      <c r="I21" s="7">
        <v>26</v>
      </c>
      <c r="J21" s="5" t="s">
        <v>69</v>
      </c>
      <c r="K21" s="5" t="s">
        <v>21</v>
      </c>
      <c r="L21" s="5" t="s">
        <v>84</v>
      </c>
      <c r="M21" s="5"/>
      <c r="N21" s="5" t="s">
        <v>23</v>
      </c>
      <c r="O21" s="41">
        <v>0</v>
      </c>
      <c r="P21" s="5" t="s">
        <v>268</v>
      </c>
    </row>
    <row r="22" spans="1:16" ht="16.05" customHeight="1" x14ac:dyDescent="0.3">
      <c r="A22" s="11" t="s">
        <v>14</v>
      </c>
      <c r="B22" s="12" t="s">
        <v>15</v>
      </c>
      <c r="C22" s="11" t="s">
        <v>42</v>
      </c>
      <c r="D22" s="11" t="s">
        <v>43</v>
      </c>
      <c r="E22" s="11" t="s">
        <v>44</v>
      </c>
      <c r="F22" s="13">
        <v>28000</v>
      </c>
      <c r="G22" s="13">
        <v>14000</v>
      </c>
      <c r="H22" s="11" t="s">
        <v>45</v>
      </c>
      <c r="I22" s="13">
        <v>44</v>
      </c>
      <c r="J22" s="11" t="s">
        <v>20</v>
      </c>
      <c r="K22" s="11" t="s">
        <v>46</v>
      </c>
      <c r="L22" s="11" t="s">
        <v>47</v>
      </c>
      <c r="M22" s="11" t="s">
        <v>48</v>
      </c>
      <c r="N22" s="11" t="s">
        <v>41</v>
      </c>
      <c r="O22" s="41">
        <v>14000</v>
      </c>
      <c r="P22" s="11" t="s">
        <v>269</v>
      </c>
    </row>
    <row r="23" spans="1:16" ht="16.05" customHeight="1" x14ac:dyDescent="0.3">
      <c r="A23" s="2" t="s">
        <v>119</v>
      </c>
      <c r="B23" s="3" t="s">
        <v>120</v>
      </c>
      <c r="C23" s="2" t="s">
        <v>121</v>
      </c>
      <c r="D23" s="2" t="s">
        <v>122</v>
      </c>
      <c r="E23" s="2" t="s">
        <v>123</v>
      </c>
      <c r="F23" s="4">
        <v>28000</v>
      </c>
      <c r="G23" s="4">
        <v>28000</v>
      </c>
      <c r="H23" s="2" t="s">
        <v>124</v>
      </c>
      <c r="I23" s="4">
        <v>7</v>
      </c>
      <c r="J23" s="2" t="s">
        <v>69</v>
      </c>
      <c r="K23" s="2" t="s">
        <v>21</v>
      </c>
      <c r="L23" s="2" t="s">
        <v>70</v>
      </c>
      <c r="M23" s="2"/>
      <c r="N23" s="2" t="s">
        <v>23</v>
      </c>
      <c r="O23" s="41">
        <v>0</v>
      </c>
      <c r="P23" s="2" t="s">
        <v>268</v>
      </c>
    </row>
    <row r="24" spans="1:16" ht="16.05" customHeight="1" x14ac:dyDescent="0.3">
      <c r="A24" s="2" t="s">
        <v>49</v>
      </c>
      <c r="B24" s="3" t="s">
        <v>50</v>
      </c>
      <c r="C24" s="2" t="s">
        <v>182</v>
      </c>
      <c r="D24" s="2" t="s">
        <v>183</v>
      </c>
      <c r="E24" s="2" t="s">
        <v>184</v>
      </c>
      <c r="F24" s="4">
        <v>28000</v>
      </c>
      <c r="G24" s="4">
        <v>28000</v>
      </c>
      <c r="H24" s="2" t="s">
        <v>185</v>
      </c>
      <c r="I24" s="4">
        <v>18</v>
      </c>
      <c r="J24" s="2" t="s">
        <v>69</v>
      </c>
      <c r="K24" s="2" t="s">
        <v>21</v>
      </c>
      <c r="L24" s="2" t="s">
        <v>102</v>
      </c>
      <c r="M24" s="2"/>
      <c r="N24" s="2" t="s">
        <v>23</v>
      </c>
      <c r="O24" s="41">
        <v>0</v>
      </c>
      <c r="P24" s="2" t="s">
        <v>268</v>
      </c>
    </row>
    <row r="25" spans="1:16" ht="16.05" customHeight="1" x14ac:dyDescent="0.3">
      <c r="A25" s="2" t="s">
        <v>56</v>
      </c>
      <c r="B25" s="3" t="s">
        <v>57</v>
      </c>
      <c r="C25" s="2" t="s">
        <v>201</v>
      </c>
      <c r="D25" s="2" t="s">
        <v>202</v>
      </c>
      <c r="E25" s="2" t="s">
        <v>203</v>
      </c>
      <c r="F25" s="4">
        <v>28000</v>
      </c>
      <c r="G25" s="4">
        <v>28000</v>
      </c>
      <c r="H25" s="2" t="s">
        <v>204</v>
      </c>
      <c r="I25" s="4">
        <v>29</v>
      </c>
      <c r="J25" s="2" t="s">
        <v>69</v>
      </c>
      <c r="K25" s="2" t="s">
        <v>21</v>
      </c>
      <c r="L25" s="2" t="s">
        <v>70</v>
      </c>
      <c r="M25" s="2"/>
      <c r="N25" s="2" t="s">
        <v>23</v>
      </c>
      <c r="O25" s="41">
        <v>0</v>
      </c>
      <c r="P25" s="2" t="s">
        <v>268</v>
      </c>
    </row>
    <row r="26" spans="1:16" ht="16.05" customHeight="1" x14ac:dyDescent="0.3">
      <c r="A26" s="5" t="s">
        <v>159</v>
      </c>
      <c r="B26" s="6" t="s">
        <v>160</v>
      </c>
      <c r="C26" s="5" t="s">
        <v>213</v>
      </c>
      <c r="D26" s="5" t="s">
        <v>203</v>
      </c>
      <c r="E26" s="5" t="s">
        <v>214</v>
      </c>
      <c r="F26" s="7">
        <v>28000</v>
      </c>
      <c r="G26" s="7">
        <v>28000</v>
      </c>
      <c r="H26" s="5" t="s">
        <v>215</v>
      </c>
      <c r="I26" s="7">
        <v>2</v>
      </c>
      <c r="J26" s="5" t="s">
        <v>69</v>
      </c>
      <c r="K26" s="5" t="s">
        <v>21</v>
      </c>
      <c r="L26" s="5" t="s">
        <v>30</v>
      </c>
      <c r="M26" s="5"/>
      <c r="N26" s="5" t="s">
        <v>23</v>
      </c>
      <c r="O26" s="41">
        <v>0</v>
      </c>
      <c r="P26" s="2" t="s">
        <v>268</v>
      </c>
    </row>
    <row r="27" spans="1:16" ht="16.05" customHeight="1" x14ac:dyDescent="0.3">
      <c r="A27" s="5" t="s">
        <v>205</v>
      </c>
      <c r="B27" s="6" t="s">
        <v>206</v>
      </c>
      <c r="C27" s="5" t="s">
        <v>219</v>
      </c>
      <c r="D27" s="5" t="s">
        <v>220</v>
      </c>
      <c r="E27" s="5" t="s">
        <v>221</v>
      </c>
      <c r="F27" s="7">
        <v>28000</v>
      </c>
      <c r="G27" s="7">
        <v>28000</v>
      </c>
      <c r="H27" s="5" t="s">
        <v>222</v>
      </c>
      <c r="I27" s="7">
        <v>5</v>
      </c>
      <c r="J27" s="5" t="s">
        <v>69</v>
      </c>
      <c r="K27" s="5" t="s">
        <v>21</v>
      </c>
      <c r="L27" s="5" t="s">
        <v>136</v>
      </c>
      <c r="M27" s="5"/>
      <c r="N27" s="5" t="s">
        <v>23</v>
      </c>
      <c r="O27" s="41">
        <v>0</v>
      </c>
      <c r="P27" s="2" t="s">
        <v>268</v>
      </c>
    </row>
    <row r="28" spans="1:16" ht="16.05" customHeight="1" x14ac:dyDescent="0.3">
      <c r="A28" s="2" t="s">
        <v>145</v>
      </c>
      <c r="B28" s="3" t="s">
        <v>146</v>
      </c>
      <c r="C28" s="2" t="s">
        <v>223</v>
      </c>
      <c r="D28" s="2" t="s">
        <v>224</v>
      </c>
      <c r="E28" s="2" t="s">
        <v>225</v>
      </c>
      <c r="F28" s="4">
        <v>28000</v>
      </c>
      <c r="G28" s="4">
        <v>28000</v>
      </c>
      <c r="H28" s="2" t="s">
        <v>226</v>
      </c>
      <c r="I28" s="4">
        <v>39</v>
      </c>
      <c r="J28" s="2" t="s">
        <v>20</v>
      </c>
      <c r="K28" s="2" t="s">
        <v>21</v>
      </c>
      <c r="L28" s="2" t="s">
        <v>70</v>
      </c>
      <c r="M28" s="2"/>
      <c r="N28" s="2" t="s">
        <v>23</v>
      </c>
      <c r="O28" s="41">
        <v>0</v>
      </c>
      <c r="P28" s="17" t="s">
        <v>268</v>
      </c>
    </row>
    <row r="29" spans="1:16" ht="16.05" customHeight="1" x14ac:dyDescent="0.3">
      <c r="A29" s="17" t="s">
        <v>240</v>
      </c>
      <c r="B29" s="18" t="s">
        <v>241</v>
      </c>
      <c r="C29" s="17" t="s">
        <v>242</v>
      </c>
      <c r="D29" s="17" t="s">
        <v>243</v>
      </c>
      <c r="E29" s="17" t="s">
        <v>238</v>
      </c>
      <c r="F29" s="19">
        <v>28000</v>
      </c>
      <c r="G29" s="19">
        <v>14000</v>
      </c>
      <c r="H29" s="17" t="s">
        <v>191</v>
      </c>
      <c r="I29" s="19">
        <v>81</v>
      </c>
      <c r="J29" s="17" t="s">
        <v>77</v>
      </c>
      <c r="K29" s="17" t="s">
        <v>46</v>
      </c>
      <c r="L29" s="17" t="s">
        <v>244</v>
      </c>
      <c r="M29" s="17" t="s">
        <v>48</v>
      </c>
      <c r="N29" s="17" t="s">
        <v>41</v>
      </c>
      <c r="O29" s="41">
        <v>14000</v>
      </c>
      <c r="P29" s="14" t="s">
        <v>269</v>
      </c>
    </row>
    <row r="30" spans="1:16" ht="16.05" customHeight="1" x14ac:dyDescent="0.3">
      <c r="A30" s="8" t="s">
        <v>31</v>
      </c>
      <c r="B30" s="9" t="s">
        <v>32</v>
      </c>
      <c r="C30" s="8" t="s">
        <v>33</v>
      </c>
      <c r="D30" s="8" t="s">
        <v>34</v>
      </c>
      <c r="E30" s="8" t="s">
        <v>35</v>
      </c>
      <c r="F30" s="10">
        <v>35000</v>
      </c>
      <c r="G30" s="10">
        <v>0</v>
      </c>
      <c r="H30" s="8" t="s">
        <v>36</v>
      </c>
      <c r="I30" s="10">
        <v>178</v>
      </c>
      <c r="J30" s="8" t="s">
        <v>37</v>
      </c>
      <c r="K30" s="8" t="s">
        <v>38</v>
      </c>
      <c r="L30" s="8" t="s">
        <v>39</v>
      </c>
      <c r="M30" s="8" t="s">
        <v>40</v>
      </c>
      <c r="N30" s="8" t="s">
        <v>41</v>
      </c>
      <c r="O30" s="41">
        <v>35000</v>
      </c>
      <c r="P30" s="2" t="s">
        <v>270</v>
      </c>
    </row>
    <row r="31" spans="1:16" ht="16.05" customHeight="1" x14ac:dyDescent="0.3">
      <c r="A31" s="2" t="s">
        <v>167</v>
      </c>
      <c r="B31" s="3" t="s">
        <v>168</v>
      </c>
      <c r="C31" s="2" t="s">
        <v>169</v>
      </c>
      <c r="D31" s="2" t="s">
        <v>170</v>
      </c>
      <c r="E31" s="2" t="s">
        <v>171</v>
      </c>
      <c r="F31" s="4">
        <v>35000</v>
      </c>
      <c r="G31" s="4">
        <v>35000</v>
      </c>
      <c r="H31" s="2" t="s">
        <v>172</v>
      </c>
      <c r="I31" s="4">
        <v>8</v>
      </c>
      <c r="J31" s="2" t="s">
        <v>69</v>
      </c>
      <c r="K31" s="2" t="s">
        <v>21</v>
      </c>
      <c r="L31" s="2" t="s">
        <v>136</v>
      </c>
      <c r="M31" s="2"/>
      <c r="N31" s="2" t="s">
        <v>23</v>
      </c>
      <c r="O31" s="41">
        <v>0</v>
      </c>
      <c r="P31" s="11" t="s">
        <v>268</v>
      </c>
    </row>
    <row r="32" spans="1:16" ht="16.05" customHeight="1" x14ac:dyDescent="0.3">
      <c r="A32" s="5" t="s">
        <v>137</v>
      </c>
      <c r="B32" s="6" t="s">
        <v>138</v>
      </c>
      <c r="C32" s="5" t="s">
        <v>186</v>
      </c>
      <c r="D32" s="5" t="s">
        <v>187</v>
      </c>
      <c r="E32" s="5" t="s">
        <v>188</v>
      </c>
      <c r="F32" s="7">
        <v>35000</v>
      </c>
      <c r="G32" s="7">
        <v>35000</v>
      </c>
      <c r="H32" s="5" t="s">
        <v>118</v>
      </c>
      <c r="I32" s="7">
        <v>11</v>
      </c>
      <c r="J32" s="5" t="s">
        <v>69</v>
      </c>
      <c r="K32" s="5" t="s">
        <v>21</v>
      </c>
      <c r="L32" s="5" t="s">
        <v>136</v>
      </c>
      <c r="M32" s="5"/>
      <c r="N32" s="5" t="s">
        <v>23</v>
      </c>
      <c r="O32" s="41">
        <v>0</v>
      </c>
      <c r="P32" s="5" t="s">
        <v>268</v>
      </c>
    </row>
    <row r="33" spans="1:16" ht="16.05" customHeight="1" x14ac:dyDescent="0.3">
      <c r="A33" s="5" t="s">
        <v>31</v>
      </c>
      <c r="B33" s="6" t="s">
        <v>32</v>
      </c>
      <c r="C33" s="5" t="s">
        <v>200</v>
      </c>
      <c r="D33" s="5" t="s">
        <v>148</v>
      </c>
      <c r="E33" s="5" t="s">
        <v>149</v>
      </c>
      <c r="F33" s="7">
        <v>35000</v>
      </c>
      <c r="G33" s="7">
        <v>35000</v>
      </c>
      <c r="H33" s="5" t="s">
        <v>122</v>
      </c>
      <c r="I33" s="7">
        <v>11</v>
      </c>
      <c r="J33" s="5" t="s">
        <v>69</v>
      </c>
      <c r="K33" s="5" t="s">
        <v>21</v>
      </c>
      <c r="L33" s="5" t="s">
        <v>70</v>
      </c>
      <c r="M33" s="5"/>
      <c r="N33" s="5" t="s">
        <v>23</v>
      </c>
      <c r="O33" s="41">
        <v>0</v>
      </c>
      <c r="P33" s="11" t="s">
        <v>268</v>
      </c>
    </row>
    <row r="34" spans="1:16" ht="16.05" customHeight="1" x14ac:dyDescent="0.3">
      <c r="A34" s="5" t="s">
        <v>205</v>
      </c>
      <c r="B34" s="6" t="s">
        <v>206</v>
      </c>
      <c r="C34" s="5" t="s">
        <v>207</v>
      </c>
      <c r="D34" s="5" t="s">
        <v>208</v>
      </c>
      <c r="E34" s="5" t="s">
        <v>185</v>
      </c>
      <c r="F34" s="7">
        <v>35000</v>
      </c>
      <c r="G34" s="7">
        <v>35000</v>
      </c>
      <c r="H34" s="5" t="s">
        <v>209</v>
      </c>
      <c r="I34" s="7">
        <v>34</v>
      </c>
      <c r="J34" s="5" t="s">
        <v>20</v>
      </c>
      <c r="K34" s="5" t="s">
        <v>21</v>
      </c>
      <c r="L34" s="5" t="s">
        <v>102</v>
      </c>
      <c r="M34" s="5"/>
      <c r="N34" s="5" t="s">
        <v>23</v>
      </c>
      <c r="O34" s="41">
        <v>0</v>
      </c>
      <c r="P34" s="11" t="s">
        <v>268</v>
      </c>
    </row>
    <row r="35" spans="1:16" ht="16.05" customHeight="1" x14ac:dyDescent="0.3">
      <c r="A35" s="2" t="s">
        <v>63</v>
      </c>
      <c r="B35" s="3" t="s">
        <v>64</v>
      </c>
      <c r="C35" s="2" t="s">
        <v>92</v>
      </c>
      <c r="D35" s="2" t="s">
        <v>93</v>
      </c>
      <c r="E35" s="2" t="s">
        <v>94</v>
      </c>
      <c r="F35" s="4">
        <v>42000</v>
      </c>
      <c r="G35" s="4">
        <v>42000</v>
      </c>
      <c r="H35" s="2" t="s">
        <v>95</v>
      </c>
      <c r="I35" s="4">
        <v>28</v>
      </c>
      <c r="J35" s="2" t="s">
        <v>69</v>
      </c>
      <c r="K35" s="2" t="s">
        <v>21</v>
      </c>
      <c r="L35" s="2" t="s">
        <v>22</v>
      </c>
      <c r="M35" s="2"/>
      <c r="N35" s="2" t="s">
        <v>23</v>
      </c>
      <c r="O35" s="41">
        <v>0</v>
      </c>
      <c r="P35" s="2" t="s">
        <v>268</v>
      </c>
    </row>
    <row r="36" spans="1:16" ht="16.05" customHeight="1" x14ac:dyDescent="0.3">
      <c r="A36" s="2" t="s">
        <v>112</v>
      </c>
      <c r="B36" s="3" t="s">
        <v>113</v>
      </c>
      <c r="C36" s="2" t="s">
        <v>114</v>
      </c>
      <c r="D36" s="2" t="s">
        <v>61</v>
      </c>
      <c r="E36" s="2" t="s">
        <v>105</v>
      </c>
      <c r="F36" s="4">
        <v>42000</v>
      </c>
      <c r="G36" s="4">
        <v>42000</v>
      </c>
      <c r="H36" s="2" t="s">
        <v>53</v>
      </c>
      <c r="I36" s="4">
        <v>31</v>
      </c>
      <c r="J36" s="2" t="s">
        <v>20</v>
      </c>
      <c r="K36" s="2" t="s">
        <v>21</v>
      </c>
      <c r="L36" s="2" t="s">
        <v>84</v>
      </c>
      <c r="M36" s="2"/>
      <c r="N36" s="2" t="s">
        <v>23</v>
      </c>
      <c r="O36" s="41">
        <v>0</v>
      </c>
      <c r="P36" s="8" t="s">
        <v>268</v>
      </c>
    </row>
    <row r="37" spans="1:16" ht="16.05" customHeight="1" x14ac:dyDescent="0.3">
      <c r="A37" s="2" t="s">
        <v>14</v>
      </c>
      <c r="B37" s="3" t="s">
        <v>15</v>
      </c>
      <c r="C37" s="2" t="s">
        <v>16</v>
      </c>
      <c r="D37" s="2" t="s">
        <v>17</v>
      </c>
      <c r="E37" s="2" t="s">
        <v>18</v>
      </c>
      <c r="F37" s="4">
        <v>55000</v>
      </c>
      <c r="G37" s="4">
        <v>55000</v>
      </c>
      <c r="H37" s="2" t="s">
        <v>19</v>
      </c>
      <c r="I37" s="4">
        <v>44</v>
      </c>
      <c r="J37" s="2" t="s">
        <v>20</v>
      </c>
      <c r="K37" s="2" t="s">
        <v>21</v>
      </c>
      <c r="L37" s="2" t="s">
        <v>22</v>
      </c>
      <c r="M37" s="2"/>
      <c r="N37" s="2" t="s">
        <v>23</v>
      </c>
      <c r="O37" s="41">
        <v>0</v>
      </c>
      <c r="P37" s="5" t="s">
        <v>268</v>
      </c>
    </row>
    <row r="38" spans="1:16" ht="16.05" customHeight="1" x14ac:dyDescent="0.3">
      <c r="A38" s="5" t="s">
        <v>96</v>
      </c>
      <c r="B38" s="6" t="s">
        <v>97</v>
      </c>
      <c r="C38" s="5" t="s">
        <v>98</v>
      </c>
      <c r="D38" s="5" t="s">
        <v>99</v>
      </c>
      <c r="E38" s="5" t="s">
        <v>100</v>
      </c>
      <c r="F38" s="7">
        <v>55000</v>
      </c>
      <c r="G38" s="7">
        <v>55000</v>
      </c>
      <c r="H38" s="5" t="s">
        <v>101</v>
      </c>
      <c r="I38" s="7">
        <v>37</v>
      </c>
      <c r="J38" s="5" t="s">
        <v>20</v>
      </c>
      <c r="K38" s="5" t="s">
        <v>21</v>
      </c>
      <c r="L38" s="5" t="s">
        <v>102</v>
      </c>
      <c r="M38" s="5"/>
      <c r="N38" s="5" t="s">
        <v>23</v>
      </c>
      <c r="O38" s="41">
        <v>0</v>
      </c>
      <c r="P38" s="17" t="s">
        <v>268</v>
      </c>
    </row>
    <row r="39" spans="1:16" ht="16.05" customHeight="1" x14ac:dyDescent="0.3">
      <c r="A39" s="14" t="s">
        <v>125</v>
      </c>
      <c r="B39" s="15" t="s">
        <v>126</v>
      </c>
      <c r="C39" s="14" t="s">
        <v>127</v>
      </c>
      <c r="D39" s="14" t="s">
        <v>128</v>
      </c>
      <c r="E39" s="14" t="s">
        <v>129</v>
      </c>
      <c r="F39" s="16">
        <v>55000</v>
      </c>
      <c r="G39" s="16">
        <v>0</v>
      </c>
      <c r="H39" s="14" t="s">
        <v>36</v>
      </c>
      <c r="I39" s="16">
        <v>76</v>
      </c>
      <c r="J39" s="14" t="s">
        <v>77</v>
      </c>
      <c r="K39" s="14" t="s">
        <v>38</v>
      </c>
      <c r="L39" s="14" t="s">
        <v>130</v>
      </c>
      <c r="M39" s="14" t="s">
        <v>131</v>
      </c>
      <c r="N39" s="14" t="s">
        <v>41</v>
      </c>
      <c r="O39" s="41">
        <v>55000</v>
      </c>
      <c r="P39" s="2" t="s">
        <v>270</v>
      </c>
    </row>
    <row r="40" spans="1:16" ht="16.05" customHeight="1" x14ac:dyDescent="0.3">
      <c r="A40" s="5" t="s">
        <v>232</v>
      </c>
      <c r="B40" s="6" t="s">
        <v>233</v>
      </c>
      <c r="C40" s="5" t="s">
        <v>234</v>
      </c>
      <c r="D40" s="5" t="s">
        <v>235</v>
      </c>
      <c r="E40" s="5" t="s">
        <v>172</v>
      </c>
      <c r="F40" s="7">
        <v>55000</v>
      </c>
      <c r="G40" s="7">
        <v>55000</v>
      </c>
      <c r="H40" s="5" t="s">
        <v>236</v>
      </c>
      <c r="I40" s="7">
        <v>30</v>
      </c>
      <c r="J40" s="5" t="s">
        <v>69</v>
      </c>
      <c r="K40" s="5" t="s">
        <v>21</v>
      </c>
      <c r="L40" s="5" t="s">
        <v>136</v>
      </c>
      <c r="M40" s="5"/>
      <c r="N40" s="5" t="s">
        <v>23</v>
      </c>
      <c r="O40" s="41">
        <v>0</v>
      </c>
      <c r="P40" s="5" t="s">
        <v>268</v>
      </c>
    </row>
    <row r="41" spans="1:16" ht="16.05" customHeight="1" x14ac:dyDescent="0.3">
      <c r="A41" s="8" t="s">
        <v>49</v>
      </c>
      <c r="B41" s="9" t="s">
        <v>50</v>
      </c>
      <c r="C41" s="8" t="s">
        <v>51</v>
      </c>
      <c r="D41" s="8" t="s">
        <v>52</v>
      </c>
      <c r="E41" s="8" t="s">
        <v>53</v>
      </c>
      <c r="F41" s="10">
        <v>67500</v>
      </c>
      <c r="G41" s="10">
        <v>0</v>
      </c>
      <c r="H41" s="8" t="s">
        <v>36</v>
      </c>
      <c r="I41" s="10">
        <v>134</v>
      </c>
      <c r="J41" s="8" t="s">
        <v>37</v>
      </c>
      <c r="K41" s="8" t="s">
        <v>38</v>
      </c>
      <c r="L41" s="8" t="s">
        <v>54</v>
      </c>
      <c r="M41" s="8" t="s">
        <v>55</v>
      </c>
      <c r="N41" s="8" t="s">
        <v>41</v>
      </c>
      <c r="O41" s="41">
        <v>67500</v>
      </c>
      <c r="P41" s="2" t="s">
        <v>270</v>
      </c>
    </row>
    <row r="42" spans="1:16" ht="16.05" customHeight="1" x14ac:dyDescent="0.3">
      <c r="A42" s="5" t="s">
        <v>85</v>
      </c>
      <c r="B42" s="6" t="s">
        <v>86</v>
      </c>
      <c r="C42" s="5" t="s">
        <v>115</v>
      </c>
      <c r="D42" s="5" t="s">
        <v>116</v>
      </c>
      <c r="E42" s="5" t="s">
        <v>117</v>
      </c>
      <c r="F42" s="7">
        <v>67500</v>
      </c>
      <c r="G42" s="7">
        <v>67500</v>
      </c>
      <c r="H42" s="5" t="s">
        <v>118</v>
      </c>
      <c r="I42" s="7">
        <v>33</v>
      </c>
      <c r="J42" s="5" t="s">
        <v>20</v>
      </c>
      <c r="K42" s="5" t="s">
        <v>21</v>
      </c>
      <c r="L42" s="5" t="s">
        <v>62</v>
      </c>
      <c r="M42" s="5"/>
      <c r="N42" s="5" t="s">
        <v>23</v>
      </c>
      <c r="O42" s="41">
        <v>0</v>
      </c>
      <c r="P42" s="5" t="s">
        <v>268</v>
      </c>
    </row>
    <row r="43" spans="1:16" ht="16.05" customHeight="1" x14ac:dyDescent="0.3">
      <c r="A43" s="2" t="s">
        <v>159</v>
      </c>
      <c r="B43" s="3" t="s">
        <v>160</v>
      </c>
      <c r="C43" s="2" t="s">
        <v>175</v>
      </c>
      <c r="D43" s="2" t="s">
        <v>176</v>
      </c>
      <c r="E43" s="2" t="s">
        <v>83</v>
      </c>
      <c r="F43" s="4">
        <v>67500</v>
      </c>
      <c r="G43" s="4">
        <v>67500</v>
      </c>
      <c r="H43" s="2" t="s">
        <v>177</v>
      </c>
      <c r="I43" s="4">
        <v>4</v>
      </c>
      <c r="J43" s="2" t="s">
        <v>69</v>
      </c>
      <c r="K43" s="2" t="s">
        <v>21</v>
      </c>
      <c r="L43" s="2" t="s">
        <v>30</v>
      </c>
      <c r="M43" s="2"/>
      <c r="N43" s="2" t="s">
        <v>23</v>
      </c>
      <c r="O43" s="41">
        <v>0</v>
      </c>
      <c r="P43" s="5" t="s">
        <v>268</v>
      </c>
    </row>
    <row r="44" spans="1:16" ht="16.05" customHeight="1" x14ac:dyDescent="0.3">
      <c r="A44" s="2" t="s">
        <v>232</v>
      </c>
      <c r="B44" s="3" t="s">
        <v>233</v>
      </c>
      <c r="C44" s="2" t="s">
        <v>237</v>
      </c>
      <c r="D44" s="2" t="s">
        <v>235</v>
      </c>
      <c r="E44" s="2" t="s">
        <v>172</v>
      </c>
      <c r="F44" s="4">
        <v>67500</v>
      </c>
      <c r="G44" s="4">
        <v>67500</v>
      </c>
      <c r="H44" s="2" t="s">
        <v>238</v>
      </c>
      <c r="I44" s="4">
        <v>41</v>
      </c>
      <c r="J44" s="2" t="s">
        <v>20</v>
      </c>
      <c r="K44" s="2" t="s">
        <v>21</v>
      </c>
      <c r="L44" s="2" t="s">
        <v>70</v>
      </c>
      <c r="M44" s="2"/>
      <c r="N44" s="2" t="s">
        <v>23</v>
      </c>
      <c r="O44" s="41">
        <v>0</v>
      </c>
      <c r="P44" s="11" t="s">
        <v>268</v>
      </c>
    </row>
    <row r="45" spans="1:16" ht="16.05" customHeight="1" x14ac:dyDescent="0.3">
      <c r="A45" s="5" t="s">
        <v>56</v>
      </c>
      <c r="B45" s="6" t="s">
        <v>57</v>
      </c>
      <c r="C45" s="5" t="s">
        <v>58</v>
      </c>
      <c r="D45" s="5" t="s">
        <v>59</v>
      </c>
      <c r="E45" s="5" t="s">
        <v>60</v>
      </c>
      <c r="F45" s="7">
        <v>80000</v>
      </c>
      <c r="G45" s="7">
        <v>80000</v>
      </c>
      <c r="H45" s="5" t="s">
        <v>61</v>
      </c>
      <c r="I45" s="7">
        <v>41</v>
      </c>
      <c r="J45" s="5" t="s">
        <v>20</v>
      </c>
      <c r="K45" s="5" t="s">
        <v>21</v>
      </c>
      <c r="L45" s="5" t="s">
        <v>62</v>
      </c>
      <c r="M45" s="5"/>
      <c r="N45" s="5" t="s">
        <v>23</v>
      </c>
      <c r="O45" s="41">
        <v>0</v>
      </c>
      <c r="P45" s="5" t="s">
        <v>268</v>
      </c>
    </row>
    <row r="46" spans="1:16" ht="16.05" customHeight="1" x14ac:dyDescent="0.3">
      <c r="A46" s="2" t="s">
        <v>79</v>
      </c>
      <c r="B46" s="3" t="s">
        <v>80</v>
      </c>
      <c r="C46" s="2" t="s">
        <v>103</v>
      </c>
      <c r="D46" s="2" t="s">
        <v>75</v>
      </c>
      <c r="E46" s="2" t="s">
        <v>104</v>
      </c>
      <c r="F46" s="4">
        <v>80000</v>
      </c>
      <c r="G46" s="4">
        <v>80000</v>
      </c>
      <c r="H46" s="2" t="s">
        <v>105</v>
      </c>
      <c r="I46" s="4">
        <v>33</v>
      </c>
      <c r="J46" s="2" t="s">
        <v>20</v>
      </c>
      <c r="K46" s="2" t="s">
        <v>21</v>
      </c>
      <c r="L46" s="2" t="s">
        <v>62</v>
      </c>
      <c r="M46" s="2"/>
      <c r="N46" s="2" t="s">
        <v>23</v>
      </c>
      <c r="O46" s="41">
        <v>0</v>
      </c>
      <c r="P46" s="11" t="s">
        <v>268</v>
      </c>
    </row>
    <row r="47" spans="1:16" ht="16.05" customHeight="1" x14ac:dyDescent="0.3">
      <c r="A47" s="5" t="s">
        <v>145</v>
      </c>
      <c r="B47" s="6" t="s">
        <v>146</v>
      </c>
      <c r="C47" s="5" t="s">
        <v>147</v>
      </c>
      <c r="D47" s="5" t="s">
        <v>148</v>
      </c>
      <c r="E47" s="5" t="s">
        <v>149</v>
      </c>
      <c r="F47" s="7">
        <v>80000</v>
      </c>
      <c r="G47" s="7">
        <v>80000</v>
      </c>
      <c r="H47" s="5" t="s">
        <v>118</v>
      </c>
      <c r="I47" s="7">
        <v>21</v>
      </c>
      <c r="J47" s="5" t="s">
        <v>69</v>
      </c>
      <c r="K47" s="5" t="s">
        <v>21</v>
      </c>
      <c r="L47" s="5" t="s">
        <v>22</v>
      </c>
      <c r="M47" s="5"/>
      <c r="N47" s="5" t="s">
        <v>23</v>
      </c>
      <c r="O47" s="41">
        <v>0</v>
      </c>
      <c r="P47" s="2" t="s">
        <v>268</v>
      </c>
    </row>
    <row r="48" spans="1:16" ht="16.05" customHeight="1" x14ac:dyDescent="0.3">
      <c r="A48" s="2" t="s">
        <v>125</v>
      </c>
      <c r="B48" s="3" t="s">
        <v>126</v>
      </c>
      <c r="C48" s="2" t="s">
        <v>150</v>
      </c>
      <c r="D48" s="2" t="s">
        <v>151</v>
      </c>
      <c r="E48" s="2" t="s">
        <v>152</v>
      </c>
      <c r="F48" s="4">
        <v>80000</v>
      </c>
      <c r="G48" s="4">
        <v>80000</v>
      </c>
      <c r="H48" s="2" t="s">
        <v>153</v>
      </c>
      <c r="I48" s="4">
        <v>18</v>
      </c>
      <c r="J48" s="2" t="s">
        <v>69</v>
      </c>
      <c r="K48" s="2" t="s">
        <v>21</v>
      </c>
      <c r="L48" s="2" t="s">
        <v>62</v>
      </c>
      <c r="M48" s="2"/>
      <c r="N48" s="2" t="s">
        <v>23</v>
      </c>
      <c r="O48" s="41">
        <v>0</v>
      </c>
      <c r="P48" s="2" t="s">
        <v>268</v>
      </c>
    </row>
    <row r="49" spans="1:16" ht="16.05" customHeight="1" x14ac:dyDescent="0.3">
      <c r="A49" s="11" t="s">
        <v>79</v>
      </c>
      <c r="B49" s="12" t="s">
        <v>80</v>
      </c>
      <c r="C49" s="11" t="s">
        <v>154</v>
      </c>
      <c r="D49" s="11" t="s">
        <v>155</v>
      </c>
      <c r="E49" s="11" t="s">
        <v>156</v>
      </c>
      <c r="F49" s="13">
        <v>80000</v>
      </c>
      <c r="G49" s="13">
        <v>40000</v>
      </c>
      <c r="H49" s="11" t="s">
        <v>157</v>
      </c>
      <c r="I49" s="13">
        <v>57</v>
      </c>
      <c r="J49" s="11" t="s">
        <v>20</v>
      </c>
      <c r="K49" s="11" t="s">
        <v>46</v>
      </c>
      <c r="L49" s="11" t="s">
        <v>158</v>
      </c>
      <c r="M49" s="11" t="s">
        <v>91</v>
      </c>
      <c r="N49" s="11" t="s">
        <v>41</v>
      </c>
      <c r="O49" s="41">
        <v>40000</v>
      </c>
      <c r="P49" s="2" t="s">
        <v>269</v>
      </c>
    </row>
    <row r="50" spans="1:16" ht="16.05" customHeight="1" x14ac:dyDescent="0.3">
      <c r="A50" s="2" t="s">
        <v>159</v>
      </c>
      <c r="B50" s="3" t="s">
        <v>160</v>
      </c>
      <c r="C50" s="2" t="s">
        <v>161</v>
      </c>
      <c r="D50" s="2" t="s">
        <v>162</v>
      </c>
      <c r="E50" s="2" t="s">
        <v>59</v>
      </c>
      <c r="F50" s="4">
        <v>80000</v>
      </c>
      <c r="G50" s="4">
        <v>80000</v>
      </c>
      <c r="H50" s="2" t="s">
        <v>59</v>
      </c>
      <c r="I50" s="4">
        <v>8</v>
      </c>
      <c r="J50" s="2" t="s">
        <v>69</v>
      </c>
      <c r="K50" s="2" t="s">
        <v>21</v>
      </c>
      <c r="L50" s="2" t="s">
        <v>30</v>
      </c>
      <c r="M50" s="2"/>
      <c r="N50" s="2" t="s">
        <v>23</v>
      </c>
      <c r="O50" s="41">
        <v>0</v>
      </c>
      <c r="P50" s="5" t="s">
        <v>268</v>
      </c>
    </row>
    <row r="51" spans="1:16" ht="16.05" customHeight="1" x14ac:dyDescent="0.3">
      <c r="A51" s="11" t="s">
        <v>193</v>
      </c>
      <c r="B51" s="12" t="s">
        <v>194</v>
      </c>
      <c r="C51" s="11" t="s">
        <v>195</v>
      </c>
      <c r="D51" s="11" t="s">
        <v>196</v>
      </c>
      <c r="E51" s="11" t="s">
        <v>192</v>
      </c>
      <c r="F51" s="13">
        <v>80000</v>
      </c>
      <c r="G51" s="13">
        <v>40000</v>
      </c>
      <c r="H51" s="11" t="s">
        <v>100</v>
      </c>
      <c r="I51" s="13">
        <v>71</v>
      </c>
      <c r="J51" s="11" t="s">
        <v>77</v>
      </c>
      <c r="K51" s="11" t="s">
        <v>46</v>
      </c>
      <c r="L51" s="11" t="s">
        <v>54</v>
      </c>
      <c r="M51" s="11" t="s">
        <v>197</v>
      </c>
      <c r="N51" s="11" t="s">
        <v>41</v>
      </c>
      <c r="O51" s="5">
        <v>40000</v>
      </c>
      <c r="P51" s="5" t="s">
        <v>269</v>
      </c>
    </row>
  </sheetData>
  <sortState xmlns:xlrd2="http://schemas.microsoft.com/office/spreadsheetml/2017/richdata2" ref="A2:N51">
    <sortCondition ref="F2:F51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10CB2-56F0-4F14-A1E2-6FC51BAF6EDB}">
  <dimension ref="A1:B4"/>
  <sheetViews>
    <sheetView workbookViewId="0">
      <selection activeCell="L10" sqref="L10"/>
    </sheetView>
  </sheetViews>
  <sheetFormatPr defaultRowHeight="14.4" x14ac:dyDescent="0.3"/>
  <cols>
    <col min="1" max="1" width="14.5546875" bestFit="1" customWidth="1"/>
  </cols>
  <sheetData>
    <row r="1" spans="1:2" x14ac:dyDescent="0.3">
      <c r="A1" t="s">
        <v>271</v>
      </c>
      <c r="B1" t="s">
        <v>272</v>
      </c>
    </row>
    <row r="2" spans="1:2" x14ac:dyDescent="0.3">
      <c r="A2" t="s">
        <v>273</v>
      </c>
      <c r="B2" s="42">
        <f>SUM(AR_Data!F2:F51)</f>
        <v>1853500</v>
      </c>
    </row>
    <row r="3" spans="1:2" x14ac:dyDescent="0.3">
      <c r="A3" t="s">
        <v>274</v>
      </c>
      <c r="B3" s="42">
        <f>SUM(AR_Data!G2:G51)</f>
        <v>1511500</v>
      </c>
    </row>
    <row r="4" spans="1:2" x14ac:dyDescent="0.3">
      <c r="A4" t="s">
        <v>275</v>
      </c>
      <c r="B4" s="42">
        <f>B2-B3</f>
        <v>342000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showGridLines="0" workbookViewId="0">
      <selection activeCell="A9" sqref="A9"/>
    </sheetView>
  </sheetViews>
  <sheetFormatPr defaultRowHeight="14.4" x14ac:dyDescent="0.3"/>
  <cols>
    <col min="1" max="1" width="28" customWidth="1"/>
    <col min="2" max="2" width="30.109375" customWidth="1"/>
    <col min="3" max="3" width="14" customWidth="1"/>
    <col min="4" max="4" width="36" customWidth="1"/>
  </cols>
  <sheetData>
    <row r="1" spans="1:4" ht="17.399999999999999" x14ac:dyDescent="0.3">
      <c r="A1" s="43" t="s">
        <v>249</v>
      </c>
      <c r="B1" s="44"/>
      <c r="C1" s="44"/>
      <c r="D1" s="44"/>
    </row>
    <row r="2" spans="1:4" ht="17.399999999999999" x14ac:dyDescent="0.3">
      <c r="A2" s="20"/>
    </row>
    <row r="3" spans="1:4" x14ac:dyDescent="0.3">
      <c r="A3" t="s">
        <v>250</v>
      </c>
      <c r="B3" s="35" t="s">
        <v>265</v>
      </c>
    </row>
    <row r="4" spans="1:4" x14ac:dyDescent="0.3">
      <c r="A4" t="s">
        <v>259</v>
      </c>
      <c r="B4" s="36">
        <f>SUM(AR_Data!F2:F51)</f>
        <v>1853500</v>
      </c>
    </row>
    <row r="5" spans="1:4" x14ac:dyDescent="0.3">
      <c r="A5" t="s">
        <v>260</v>
      </c>
      <c r="B5" s="36">
        <f>SUM(AR_Data!G2:G51)</f>
        <v>1511500</v>
      </c>
    </row>
    <row r="6" spans="1:4" x14ac:dyDescent="0.3">
      <c r="A6" t="s">
        <v>261</v>
      </c>
      <c r="B6" s="37">
        <f>B5/B4</f>
        <v>0.81548421904504986</v>
      </c>
    </row>
    <row r="7" spans="1:4" x14ac:dyDescent="0.3">
      <c r="A7" t="s">
        <v>262</v>
      </c>
      <c r="B7" s="39">
        <f>AVERAGE(AR_Data!I26:I51)</f>
        <v>41.384615384615387</v>
      </c>
    </row>
    <row r="8" spans="1:4" x14ac:dyDescent="0.3">
      <c r="A8" t="s">
        <v>263</v>
      </c>
      <c r="B8" s="38">
        <f>COUNTIF(AR_Data!K2:K51,"Suspense")</f>
        <v>5</v>
      </c>
    </row>
    <row r="9" spans="1:4" x14ac:dyDescent="0.3">
      <c r="A9" t="s">
        <v>264</v>
      </c>
      <c r="B9" s="37">
        <f>COUNTIF(AR_Data!N2:N51,"AI Auto-Matched")/50</f>
        <v>0.7</v>
      </c>
    </row>
    <row r="12" spans="1:4" x14ac:dyDescent="0.3">
      <c r="A12" s="1" t="s">
        <v>250</v>
      </c>
      <c r="B12" s="1" t="s">
        <v>251</v>
      </c>
      <c r="C12" s="1" t="s">
        <v>252</v>
      </c>
      <c r="D12" s="1" t="s">
        <v>253</v>
      </c>
    </row>
    <row r="13" spans="1:4" x14ac:dyDescent="0.3">
      <c r="A13" s="21" t="s">
        <v>21</v>
      </c>
      <c r="B13" s="22">
        <v>35</v>
      </c>
      <c r="C13" s="23">
        <v>0.7</v>
      </c>
      <c r="D13" s="21" t="s">
        <v>254</v>
      </c>
    </row>
    <row r="14" spans="1:4" x14ac:dyDescent="0.3">
      <c r="A14" s="24" t="s">
        <v>255</v>
      </c>
      <c r="B14" s="25">
        <v>10</v>
      </c>
      <c r="C14" s="26">
        <v>0.2</v>
      </c>
      <c r="D14" s="24" t="s">
        <v>256</v>
      </c>
    </row>
    <row r="15" spans="1:4" x14ac:dyDescent="0.3">
      <c r="A15" s="27" t="s">
        <v>38</v>
      </c>
      <c r="B15" s="28">
        <v>5</v>
      </c>
      <c r="C15" s="29">
        <v>0.1</v>
      </c>
      <c r="D15" s="27" t="s">
        <v>257</v>
      </c>
    </row>
    <row r="16" spans="1:4" x14ac:dyDescent="0.3">
      <c r="A16" s="30" t="s">
        <v>258</v>
      </c>
      <c r="B16" s="31">
        <v>50</v>
      </c>
      <c r="C16" s="32">
        <v>1</v>
      </c>
      <c r="D16" s="33"/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Business_Case</vt:lpstr>
      <vt:lpstr>AR_Data</vt:lpstr>
      <vt:lpstr>Waterfall_Data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afrid y</cp:lastModifiedBy>
  <dcterms:created xsi:type="dcterms:W3CDTF">2026-05-06T20:08:18Z</dcterms:created>
  <dcterms:modified xsi:type="dcterms:W3CDTF">2026-05-16T19:35:57Z</dcterms:modified>
</cp:coreProperties>
</file>